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inel" sheetId="2" state="visible" r:id="rId4"/>
    <sheet name="Clientes" sheetId="3" state="visible" r:id="rId5"/>
    <sheet name="Etapas do funil" sheetId="4" state="visible" r:id="rId6"/>
    <sheet name="Dados do cliente" sheetId="5" state="visible" r:id="rId7"/>
    <sheet name="Regras de retorno" sheetId="6" state="visible" r:id="rId8"/>
    <sheet name="Regras da clínica" sheetId="7" state="visible" r:id="rId9"/>
    <sheet name="Quem usa" sheetId="8" state="visible" r:id="rId10"/>
    <sheet name="Pontos a confirmar" sheetId="9" state="visible" r:id="rId11"/>
    <sheet name="Listas" sheetId="10" state="visible" r:id="rId12"/>
  </sheets>
  <definedNames>
    <definedName function="false" hidden="true" localSheetId="2" name="_xlnm._FilterDatabase" vbProcedure="false">Clientes!$A$1:$V$500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<sst xmlns="http://schemas.openxmlformats.org/spreadsheetml/2006/main" count="1020" uniqueCount="462">
  <si>
    <t xml:space="preserve">CRM em quadro · Contorno Estética</t>
  </si>
  <si>
    <t xml:space="preserve">Clínica fictícia criada para o IA Sem Segredo. Nomes e números são inventados.</t>
  </si>
  <si>
    <t xml:space="preserve">Para que serve</t>
  </si>
  <si>
    <t xml:space="preserve">Organizar cada cliente numa etapa do funil e mostrar, todo dia, quem precisa de retorno.</t>
  </si>
  <si>
    <t xml:space="preserve">Clientes</t>
  </si>
  <si>
    <t xml:space="preserve">A base do CRM. As 80 clientes da planilha antiga já estão aqui, cada uma na etapa certa. Uma linha = um cartão do quadro.</t>
  </si>
  <si>
    <t xml:space="preserve">Painel</t>
  </si>
  <si>
    <t xml:space="preserve">Os números para a Paula: quantas clientes em cada etapa, retornos atrasados, origem e propostas que viraram pacote.</t>
  </si>
  <si>
    <t xml:space="preserve">Etapas do funil</t>
  </si>
  <si>
    <t xml:space="preserve">As 8 colunas do quadro, quando o cartão entra em cada uma e quem move.</t>
  </si>
  <si>
    <t xml:space="preserve">Dados do cliente</t>
  </si>
  <si>
    <t xml:space="preserve">O que cada campo significa e como preencher.</t>
  </si>
  <si>
    <t xml:space="preserve">Regras de retorno</t>
  </si>
  <si>
    <t xml:space="preserve">Quando a Nina volta a falar com a cliente em cada situação.</t>
  </si>
  <si>
    <t xml:space="preserve">Regras da clínica</t>
  </si>
  <si>
    <t xml:space="preserve">As regras que ninguém quebra e o que o CRM faz para proteger cada uma.</t>
  </si>
  <si>
    <t xml:space="preserve">Quem usa</t>
  </si>
  <si>
    <t xml:space="preserve">O que Nina, Otávio, Camila e Paula fazem no CRM.</t>
  </si>
  <si>
    <t xml:space="preserve">Pontos a confirmar</t>
  </si>
  <si>
    <t xml:space="preserve">Regras sugeridas que a Paula ainda precisa aprovar.</t>
  </si>
  <si>
    <t xml:space="preserve">COMO USAR NO DIA A DIA</t>
  </si>
  <si>
    <t xml:space="preserve">1.</t>
  </si>
  <si>
    <t xml:space="preserve">Abra a aba Clientes e filtre a coluna "Situação do retorno" por "Atrasado" e "Hoje". Essa é a lista de retornos do dia.</t>
  </si>
  <si>
    <t xml:space="preserve">2.</t>
  </si>
  <si>
    <t xml:space="preserve">Depois de falar com a cliente, atualize "Último contato" com a data de hoje e, se for o caso, mude a "Etapa".</t>
  </si>
  <si>
    <t xml:space="preserve">3.</t>
  </si>
  <si>
    <t xml:space="preserve">Se a cliente não respondeu, some 1 em "Tentativas sem resposta". Na 3ª, a planilha avisa para mover para Perdido.</t>
  </si>
  <si>
    <t xml:space="preserve">4.</t>
  </si>
  <si>
    <t xml:space="preserve">Se ela respondeu, volte as tentativas para 0.</t>
  </si>
  <si>
    <t xml:space="preserve">O QUE PREENCHER</t>
  </si>
  <si>
    <t xml:space="preserve">Células com fundo amarelo-claro são para preencher. As colunas "Área", "Validade do pacote", "Próximo retorno" e "Situação do retorno" são calculadas sozinhas: não digite nelas.</t>
  </si>
  <si>
    <t xml:space="preserve">MENUS</t>
  </si>
  <si>
    <t xml:space="preserve">Etapa, Origem, Interesse, Etiqueta da proposta, Responsável e Motivo da perda têm uma setinha com as opções. Escolha uma opção da lista em vez de escrever.</t>
  </si>
  <si>
    <t xml:space="preserve">DATAS</t>
  </si>
  <si>
    <t xml:space="preserve">As datas da planilha antiga não tinham ano. Considerei 2026 em todas.</t>
  </si>
  <si>
    <t xml:space="preserve">A COMPLETAR</t>
  </si>
  <si>
    <t xml:space="preserve">Clientes sem origem ou sem interesse na planilha antiga aparecem como "A completar". A Nina completa na próxima conversa.</t>
  </si>
  <si>
    <t xml:space="preserve">DOMINGO</t>
  </si>
  <si>
    <t xml:space="preserve">Se o próximo retorno cair num domingo, a planilha passa para segunda. Feriados precisam ser ajustados à mão.</t>
  </si>
  <si>
    <t xml:space="preserve">Painel da Paula</t>
  </si>
  <si>
    <t xml:space="preserve">Atualiza sozinho a partir da aba Clientes.</t>
  </si>
  <si>
    <t xml:space="preserve">Clientes por etapa</t>
  </si>
  <si>
    <t xml:space="preserve">Quantidade</t>
  </si>
  <si>
    <t xml:space="preserve">Retornos</t>
  </si>
  <si>
    <t xml:space="preserve">Novo contato</t>
  </si>
  <si>
    <t xml:space="preserve">Atrasado</t>
  </si>
  <si>
    <t xml:space="preserve">Em conversa</t>
  </si>
  <si>
    <t xml:space="preserve">Hoje</t>
  </si>
  <si>
    <t xml:space="preserve">Avaliação marcada</t>
  </si>
  <si>
    <t xml:space="preserve">Mover para Perdido</t>
  </si>
  <si>
    <t xml:space="preserve">Proposta enviada</t>
  </si>
  <si>
    <t xml:space="preserve">No prazo</t>
  </si>
  <si>
    <t xml:space="preserve">Fechou pacote</t>
  </si>
  <si>
    <t xml:space="preserve">Em tratamento</t>
  </si>
  <si>
    <t xml:space="preserve">Pós-venda</t>
  </si>
  <si>
    <t xml:space="preserve">Origem das clientes</t>
  </si>
  <si>
    <t xml:space="preserve">Perdido</t>
  </si>
  <si>
    <t xml:space="preserve">Instagram</t>
  </si>
  <si>
    <t xml:space="preserve">Total</t>
  </si>
  <si>
    <t xml:space="preserve">Instagram (anúncio)</t>
  </si>
  <si>
    <t xml:space="preserve">Google</t>
  </si>
  <si>
    <t xml:space="preserve">Propostas que viraram pacote</t>
  </si>
  <si>
    <t xml:space="preserve">Indicação</t>
  </si>
  <si>
    <t xml:space="preserve">Fecharam (Fechou pacote + Em tratamento + Pós-venda)</t>
  </si>
  <si>
    <t xml:space="preserve">Fachada</t>
  </si>
  <si>
    <t xml:space="preserve">Ainda com proposta em aberto</t>
  </si>
  <si>
    <t xml:space="preserve">Outro</t>
  </si>
  <si>
    <t xml:space="preserve">Taxa de fechamento</t>
  </si>
  <si>
    <t xml:space="preserve">A completar</t>
  </si>
  <si>
    <t xml:space="preserve">Referência da clínica: 4 em cada 10 avaliações viram pacote (média dos últimos 6 meses, documento Quem Somos).</t>
  </si>
  <si>
    <t xml:space="preserve">Fecharam ÷ (fecharam + propostas em aberto). Não conta as perdidas, porque a planilha antiga não dizia em que etapa a cliente desistiu.</t>
  </si>
  <si>
    <t xml:space="preserve">Nome</t>
  </si>
  <si>
    <t xml:space="preserve">Telefone / WhatsApp</t>
  </si>
  <si>
    <t xml:space="preserve">Origem</t>
  </si>
  <si>
    <t xml:space="preserve">Indicada por</t>
  </si>
  <si>
    <t xml:space="preserve">Interesse</t>
  </si>
  <si>
    <t xml:space="preserve">Área</t>
  </si>
  <si>
    <t xml:space="preserve">Etapa</t>
  </si>
  <si>
    <t xml:space="preserve">Etiqueta da proposta</t>
  </si>
  <si>
    <t xml:space="preserve">Responsável</t>
  </si>
  <si>
    <t xml:space="preserve">Último contato</t>
  </si>
  <si>
    <t xml:space="preserve">Tentativas sem resposta</t>
  </si>
  <si>
    <t xml:space="preserve">Data da avaliação</t>
  </si>
  <si>
    <t xml:space="preserve">Data da 1ª sessão</t>
  </si>
  <si>
    <t xml:space="preserve">Sessões contratadas</t>
  </si>
  <si>
    <t xml:space="preserve">Sessões feitas</t>
  </si>
  <si>
    <t xml:space="preserve">Validade do pacote</t>
  </si>
  <si>
    <t xml:space="preserve">Próximo retorno</t>
  </si>
  <si>
    <t xml:space="preserve">Situação do retorno</t>
  </si>
  <si>
    <t xml:space="preserve">Preferências e cuidados</t>
  </si>
  <si>
    <t xml:space="preserve">Motivo da perda</t>
  </si>
  <si>
    <t xml:space="preserve">Observação</t>
  </si>
  <si>
    <t xml:space="preserve">Situação na planilha antiga</t>
  </si>
  <si>
    <t xml:space="preserve">Retorno (cálculo)</t>
  </si>
  <si>
    <t xml:space="preserve">Cliente 001</t>
  </si>
  <si>
    <t xml:space="preserve">(15) 99999-3042</t>
  </si>
  <si>
    <t xml:space="preserve">Criolipólise</t>
  </si>
  <si>
    <t xml:space="preserve">Nina</t>
  </si>
  <si>
    <t xml:space="preserve">marcou avaliação</t>
  </si>
  <si>
    <t xml:space="preserve">Cliente 002</t>
  </si>
  <si>
    <t xml:space="preserve">(15) 99999-3504</t>
  </si>
  <si>
    <t xml:space="preserve">Drenagem linfática</t>
  </si>
  <si>
    <t xml:space="preserve">sumiu</t>
  </si>
  <si>
    <t xml:space="preserve">Cliente 003</t>
  </si>
  <si>
    <t xml:space="preserve">(15) 99999-4519</t>
  </si>
  <si>
    <t xml:space="preserve">Limpeza de pele</t>
  </si>
  <si>
    <t xml:space="preserve">Já fez em outra clínica</t>
  </si>
  <si>
    <t xml:space="preserve">fez avaliação</t>
  </si>
  <si>
    <t xml:space="preserve">Cliente 004</t>
  </si>
  <si>
    <t xml:space="preserve">(15) 99999-4205</t>
  </si>
  <si>
    <t xml:space="preserve">Depilação a laser</t>
  </si>
  <si>
    <t xml:space="preserve">Pediu foto de antes e depois: só com autorização escrita</t>
  </si>
  <si>
    <t xml:space="preserve">não respondeu</t>
  </si>
  <si>
    <t xml:space="preserve">Cliente 005</t>
  </si>
  <si>
    <t xml:space="preserve">(15) 99999-5967</t>
  </si>
  <si>
    <t xml:space="preserve">Peeling de diamante</t>
  </si>
  <si>
    <t xml:space="preserve">achou caro</t>
  </si>
  <si>
    <t xml:space="preserve">Cliente 006</t>
  </si>
  <si>
    <t xml:space="preserve">(15) 99999-4307</t>
  </si>
  <si>
    <t xml:space="preserve">Cliente 007</t>
  </si>
  <si>
    <t xml:space="preserve">(15) 99999-3319</t>
  </si>
  <si>
    <t xml:space="preserve">Só pode sábado</t>
  </si>
  <si>
    <t xml:space="preserve">Cliente 008</t>
  </si>
  <si>
    <t xml:space="preserve">(15) 99999-4589</t>
  </si>
  <si>
    <t xml:space="preserve">ligar de novo</t>
  </si>
  <si>
    <t xml:space="preserve">Cliente 009</t>
  </si>
  <si>
    <t xml:space="preserve">(15) 99999-3861</t>
  </si>
  <si>
    <t xml:space="preserve">avaliação?</t>
  </si>
  <si>
    <t xml:space="preserve">Cliente 010</t>
  </si>
  <si>
    <t xml:space="preserve">(15) 99999-7596</t>
  </si>
  <si>
    <t xml:space="preserve">Perguntou do resultado: nunca prometer cm ou kg</t>
  </si>
  <si>
    <t xml:space="preserve">remarcar</t>
  </si>
  <si>
    <t xml:space="preserve">Cliente 011</t>
  </si>
  <si>
    <t xml:space="preserve">(15) 99999-8159</t>
  </si>
  <si>
    <t xml:space="preserve">Massagem modeladora</t>
  </si>
  <si>
    <t xml:space="preserve">Cliente 012</t>
  </si>
  <si>
    <t xml:space="preserve">(15) 99999-5744</t>
  </si>
  <si>
    <t xml:space="preserve">(em branco)</t>
  </si>
  <si>
    <t xml:space="preserve">Cliente 013</t>
  </si>
  <si>
    <t xml:space="preserve">(15) 99999-8132</t>
  </si>
  <si>
    <t xml:space="preserve">Prefere áudio</t>
  </si>
  <si>
    <t xml:space="preserve">Cliente 014</t>
  </si>
  <si>
    <t xml:space="preserve">(15) 99999-9337</t>
  </si>
  <si>
    <t xml:space="preserve">Amiga (confirmar nome)</t>
  </si>
  <si>
    <t xml:space="preserve">Na planilha antiga a origem era Google, mas a cliente veio pela amiga.</t>
  </si>
  <si>
    <t xml:space="preserve">Cliente 015</t>
  </si>
  <si>
    <t xml:space="preserve">(15) 99999-9097</t>
  </si>
  <si>
    <t xml:space="preserve">Cliente 016</t>
  </si>
  <si>
    <t xml:space="preserve">(15) 99999-9112</t>
  </si>
  <si>
    <t xml:space="preserve">fechou pacote</t>
  </si>
  <si>
    <t xml:space="preserve">Cliente 017</t>
  </si>
  <si>
    <t xml:space="preserve">(15) 99999-5088</t>
  </si>
  <si>
    <t xml:space="preserve">Microagulhamento</t>
  </si>
  <si>
    <t xml:space="preserve">quer parcelar</t>
  </si>
  <si>
    <t xml:space="preserve">Quer parcelar</t>
  </si>
  <si>
    <t xml:space="preserve">Cliente 018</t>
  </si>
  <si>
    <t xml:space="preserve">(15) 99999-1268</t>
  </si>
  <si>
    <t xml:space="preserve">pediu preço</t>
  </si>
  <si>
    <t xml:space="preserve">Cliente 019</t>
  </si>
  <si>
    <t xml:space="preserve">(15) 99999-8135</t>
  </si>
  <si>
    <t xml:space="preserve">Na planilha antiga a origem era Instagram (anúncio), mas a cliente veio pela amiga.</t>
  </si>
  <si>
    <t xml:space="preserve">Cliente 020</t>
  </si>
  <si>
    <t xml:space="preserve">(15) 99999-6163</t>
  </si>
  <si>
    <t xml:space="preserve">Cliente 021</t>
  </si>
  <si>
    <t xml:space="preserve">(15) 99999-9633</t>
  </si>
  <si>
    <t xml:space="preserve">Cliente 022</t>
  </si>
  <si>
    <t xml:space="preserve">(15) 99999-5747</t>
  </si>
  <si>
    <t xml:space="preserve">Cliente 023</t>
  </si>
  <si>
    <t xml:space="preserve">(15) 99999-0747</t>
  </si>
  <si>
    <t xml:space="preserve">Cliente 024</t>
  </si>
  <si>
    <t xml:space="preserve">(15) 99999-6384</t>
  </si>
  <si>
    <t xml:space="preserve">Cliente 025</t>
  </si>
  <si>
    <t xml:space="preserve">(15) 99999-2430</t>
  </si>
  <si>
    <t xml:space="preserve">Cliente 026</t>
  </si>
  <si>
    <t xml:space="preserve">(15) 99999-9883</t>
  </si>
  <si>
    <t xml:space="preserve">Cliente 027</t>
  </si>
  <si>
    <t xml:space="preserve">(15) 99999-8042</t>
  </si>
  <si>
    <t xml:space="preserve">Cliente 028</t>
  </si>
  <si>
    <t xml:space="preserve">(15) 99999-0805</t>
  </si>
  <si>
    <t xml:space="preserve">Cliente 029</t>
  </si>
  <si>
    <t xml:space="preserve">(15) 99999-2453</t>
  </si>
  <si>
    <t xml:space="preserve">Cliente 030</t>
  </si>
  <si>
    <t xml:space="preserve">(15) 99999-3502</t>
  </si>
  <si>
    <t xml:space="preserve">Na planilha antiga a origem era Instagram, mas a cliente veio pela amiga.</t>
  </si>
  <si>
    <t xml:space="preserve">Cliente 031</t>
  </si>
  <si>
    <t xml:space="preserve">(15) 99999-7217</t>
  </si>
  <si>
    <t xml:space="preserve">Cliente 032</t>
  </si>
  <si>
    <t xml:space="preserve">(15) 99999-1890</t>
  </si>
  <si>
    <t xml:space="preserve">Cliente 033</t>
  </si>
  <si>
    <t xml:space="preserve">(15) 99999-8937</t>
  </si>
  <si>
    <t xml:space="preserve">vai pensar</t>
  </si>
  <si>
    <t xml:space="preserve">Cliente 034</t>
  </si>
  <si>
    <t xml:space="preserve">(15) 99999-2736</t>
  </si>
  <si>
    <t xml:space="preserve">Cliente 035</t>
  </si>
  <si>
    <t xml:space="preserve">(15) 99999-6952</t>
  </si>
  <si>
    <t xml:space="preserve">Cliente 036</t>
  </si>
  <si>
    <t xml:space="preserve">(15) 99999-6351</t>
  </si>
  <si>
    <t xml:space="preserve">Cliente 037</t>
  </si>
  <si>
    <t xml:space="preserve">(15) 99999-0060</t>
  </si>
  <si>
    <t xml:space="preserve">Cliente 038</t>
  </si>
  <si>
    <t xml:space="preserve">(15) 99999-4051</t>
  </si>
  <si>
    <t xml:space="preserve">Cliente 039</t>
  </si>
  <si>
    <t xml:space="preserve">(15) 99999-7554</t>
  </si>
  <si>
    <t xml:space="preserve">Cliente 040</t>
  </si>
  <si>
    <t xml:space="preserve">(15) 99999-0560</t>
  </si>
  <si>
    <t xml:space="preserve">Cliente 041</t>
  </si>
  <si>
    <t xml:space="preserve">(15) 99999-5034</t>
  </si>
  <si>
    <t xml:space="preserve">Cliente 042</t>
  </si>
  <si>
    <t xml:space="preserve">(15) 99999-7019</t>
  </si>
  <si>
    <t xml:space="preserve">Cliente 043</t>
  </si>
  <si>
    <t xml:space="preserve">(15) 99999-2518</t>
  </si>
  <si>
    <t xml:space="preserve">Cliente 044</t>
  </si>
  <si>
    <t xml:space="preserve">(15) 99999-1539</t>
  </si>
  <si>
    <t xml:space="preserve">Cliente 045</t>
  </si>
  <si>
    <t xml:space="preserve">(15) 99999-5569</t>
  </si>
  <si>
    <t xml:space="preserve">Cliente 046</t>
  </si>
  <si>
    <t xml:space="preserve">(15) 99999-0208</t>
  </si>
  <si>
    <t xml:space="preserve">Cliente 047</t>
  </si>
  <si>
    <t xml:space="preserve">(15) 99999-5648</t>
  </si>
  <si>
    <t xml:space="preserve">Cliente 048</t>
  </si>
  <si>
    <t xml:space="preserve">(15) 99999-2053</t>
  </si>
  <si>
    <t xml:space="preserve">Cliente 049</t>
  </si>
  <si>
    <t xml:space="preserve">(15) 99999-8381</t>
  </si>
  <si>
    <t xml:space="preserve">Cliente 050</t>
  </si>
  <si>
    <t xml:space="preserve">(15) 99999-8179</t>
  </si>
  <si>
    <t xml:space="preserve">Cliente 051</t>
  </si>
  <si>
    <t xml:space="preserve">(15) 99999-2041</t>
  </si>
  <si>
    <t xml:space="preserve">Cliente 052</t>
  </si>
  <si>
    <t xml:space="preserve">(15) 99999-6787</t>
  </si>
  <si>
    <t xml:space="preserve">Cliente 053</t>
  </si>
  <si>
    <t xml:space="preserve">(15) 99999-9243</t>
  </si>
  <si>
    <t xml:space="preserve">Cliente 054</t>
  </si>
  <si>
    <t xml:space="preserve">(15) 99999-5318</t>
  </si>
  <si>
    <t xml:space="preserve">Cliente 055</t>
  </si>
  <si>
    <t xml:space="preserve">(15) 99999-1459</t>
  </si>
  <si>
    <t xml:space="preserve">Cliente 056</t>
  </si>
  <si>
    <t xml:space="preserve">(15) 99999-5134</t>
  </si>
  <si>
    <t xml:space="preserve">Cliente 057</t>
  </si>
  <si>
    <t xml:space="preserve">(15) 99999-7167</t>
  </si>
  <si>
    <t xml:space="preserve">Cliente 058</t>
  </si>
  <si>
    <t xml:space="preserve">(15) 99999-2540</t>
  </si>
  <si>
    <t xml:space="preserve">Cliente 059</t>
  </si>
  <si>
    <t xml:space="preserve">(15) 99999-8535</t>
  </si>
  <si>
    <t xml:space="preserve">Cliente 060</t>
  </si>
  <si>
    <t xml:space="preserve">(15) 99999-4009</t>
  </si>
  <si>
    <t xml:space="preserve">Cliente 061</t>
  </si>
  <si>
    <t xml:space="preserve">(15) 99999-4590</t>
  </si>
  <si>
    <t xml:space="preserve">Cliente 062</t>
  </si>
  <si>
    <t xml:space="preserve">(15) 99999-1956</t>
  </si>
  <si>
    <t xml:space="preserve">Cliente 063</t>
  </si>
  <si>
    <t xml:space="preserve">(15) 99999-8077</t>
  </si>
  <si>
    <t xml:space="preserve">Cliente 064</t>
  </si>
  <si>
    <t xml:space="preserve">(15) 99999-7825</t>
  </si>
  <si>
    <t xml:space="preserve">Cliente 065</t>
  </si>
  <si>
    <t xml:space="preserve">(15) 99999-8027</t>
  </si>
  <si>
    <t xml:space="preserve">Cliente 066</t>
  </si>
  <si>
    <t xml:space="preserve">(15) 99999-2280</t>
  </si>
  <si>
    <t xml:space="preserve">Cliente 067</t>
  </si>
  <si>
    <t xml:space="preserve">(15) 99999-7148</t>
  </si>
  <si>
    <t xml:space="preserve">Cliente 068</t>
  </si>
  <si>
    <t xml:space="preserve">(15) 99999-1752</t>
  </si>
  <si>
    <t xml:space="preserve">Cliente 069</t>
  </si>
  <si>
    <t xml:space="preserve">(15) 99999-0928</t>
  </si>
  <si>
    <t xml:space="preserve">Cliente 070</t>
  </si>
  <si>
    <t xml:space="preserve">(15) 99999-2526</t>
  </si>
  <si>
    <t xml:space="preserve">Cliente 071</t>
  </si>
  <si>
    <t xml:space="preserve">(15) 99999-6556</t>
  </si>
  <si>
    <t xml:space="preserve">Cliente 072</t>
  </si>
  <si>
    <t xml:space="preserve">(15) 99999-9733</t>
  </si>
  <si>
    <t xml:space="preserve">Cliente 073</t>
  </si>
  <si>
    <t xml:space="preserve">(15) 99999-8395</t>
  </si>
  <si>
    <t xml:space="preserve">Cliente 074</t>
  </si>
  <si>
    <t xml:space="preserve">(15) 99999-0440</t>
  </si>
  <si>
    <t xml:space="preserve">Cliente 075</t>
  </si>
  <si>
    <t xml:space="preserve">(15) 99999-0698</t>
  </si>
  <si>
    <t xml:space="preserve">Cliente 076</t>
  </si>
  <si>
    <t xml:space="preserve">(15) 99999-2618</t>
  </si>
  <si>
    <t xml:space="preserve">Cliente 077</t>
  </si>
  <si>
    <t xml:space="preserve">(15) 99999-6600</t>
  </si>
  <si>
    <t xml:space="preserve">Cliente 078</t>
  </si>
  <si>
    <t xml:space="preserve">(15) 99999-0272</t>
  </si>
  <si>
    <t xml:space="preserve">Cliente 079</t>
  </si>
  <si>
    <t xml:space="preserve">(15) 99999-7427</t>
  </si>
  <si>
    <t xml:space="preserve">Cliente 080</t>
  </si>
  <si>
    <t xml:space="preserve">(15) 99999-8760</t>
  </si>
  <si>
    <t xml:space="preserve">As colunas do quadro, na ordem do caminho da cliente.</t>
  </si>
  <si>
    <t xml:space="preserve">#</t>
  </si>
  <si>
    <t xml:space="preserve">Quando o cartão entra aqui</t>
  </si>
  <si>
    <t xml:space="preserve">Quem move para a próxima</t>
  </si>
  <si>
    <t xml:space="preserve">Situações da planilha antiga que vieram para cá</t>
  </si>
  <si>
    <t xml:space="preserve">A cliente mandou a primeira mensagem (WhatsApp, Instagram, Google, indicação, fachada).</t>
  </si>
  <si>
    <t xml:space="preserve">A Nina já respondeu, a cliente pediu preço ou tirou dúvida, mas ainda não marcou a avaliação.</t>
  </si>
  <si>
    <t xml:space="preserve">pediu preço · ligar de novo · não respondeu · sumiu</t>
  </si>
  <si>
    <t xml:space="preserve">A avaliação gratuita está com dia e hora marcados.</t>
  </si>
  <si>
    <t xml:space="preserve">Nina ou Otávio</t>
  </si>
  <si>
    <t xml:space="preserve">marcou avaliação · remarcar · avaliação?</t>
  </si>
  <si>
    <t xml:space="preserve">A cliente fez a avaliação, o Otávio montou a proposta e a Nina enviou no mesmo dia.</t>
  </si>
  <si>
    <t xml:space="preserve">fez avaliação · achou caro · vai pensar</t>
  </si>
  <si>
    <t xml:space="preserve">A cliente pagou o pacote e falta fazer a 1ª sessão.</t>
  </si>
  <si>
    <t xml:space="preserve">Quem registrar a 1ª sessão</t>
  </si>
  <si>
    <t xml:space="preserve">A 1ª sessão foi feita. A planilha mostra a validade do pacote.</t>
  </si>
  <si>
    <t xml:space="preserve">Quem registrar a última sessão</t>
  </si>
  <si>
    <t xml:space="preserve">O pacote terminou. Pedir opinião e indicação e oferecer o próximo tratamento.</t>
  </si>
  <si>
    <t xml:space="preserve">—</t>
  </si>
  <si>
    <t xml:space="preserve">A cliente disse não ou não respondeu depois de 3 tentativas. Escolher o motivo é obrigatório. Pode voltar para Em conversa se a cliente reaparecer.</t>
  </si>
  <si>
    <t xml:space="preserve">REGRA</t>
  </si>
  <si>
    <t xml:space="preserve">O cartão não vai para Fechou pacote sem a avaliação feita. A clínica só vende pacote depois da avaliação.</t>
  </si>
  <si>
    <t xml:space="preserve">Dados de cada cliente</t>
  </si>
  <si>
    <t xml:space="preserve">O que cada coluna da aba Clientes significa. ★ = obrigatório.</t>
  </si>
  <si>
    <t xml:space="preserve">Campo</t>
  </si>
  <si>
    <t xml:space="preserve">Grupo</t>
  </si>
  <si>
    <t xml:space="preserve">Como preenche</t>
  </si>
  <si>
    <t xml:space="preserve">Nome ★</t>
  </si>
  <si>
    <t xml:space="preserve">Identificação</t>
  </si>
  <si>
    <t xml:space="preserve">Texto</t>
  </si>
  <si>
    <t xml:space="preserve">Telefone / WhatsApp ★</t>
  </si>
  <si>
    <t xml:space="preserve">Número com DDD</t>
  </si>
  <si>
    <t xml:space="preserve">Confira se a cliente já não está cadastrada.</t>
  </si>
  <si>
    <t xml:space="preserve">Origem ★</t>
  </si>
  <si>
    <t xml:space="preserve">De onde veio</t>
  </si>
  <si>
    <t xml:space="preserve">Menu</t>
  </si>
  <si>
    <t xml:space="preserve">Instagram · Instagram (anúncio) · Google · Indicação · Fachada · Outro</t>
  </si>
  <si>
    <t xml:space="preserve">Só quando a origem é Indicação.</t>
  </si>
  <si>
    <t xml:space="preserve">Interesse ★</t>
  </si>
  <si>
    <t xml:space="preserve">Tratamentos da tabela de preços ou "Ainda não sabe".</t>
  </si>
  <si>
    <t xml:space="preserve">Automático</t>
  </si>
  <si>
    <t xml:space="preserve">Rosto ou Corpo, a partir do interesse.</t>
  </si>
  <si>
    <t xml:space="preserve">Etapa ★</t>
  </si>
  <si>
    <t xml:space="preserve">Andamento</t>
  </si>
  <si>
    <t xml:space="preserve">A coluna do quadro em que a cliente está.</t>
  </si>
  <si>
    <t xml:space="preserve">achou caro · vai pensar · quer parcelar. Só na etapa Proposta enviada.</t>
  </si>
  <si>
    <t xml:space="preserve">Responsável ★</t>
  </si>
  <si>
    <t xml:space="preserve">Nina por padrão.</t>
  </si>
  <si>
    <t xml:space="preserve">Último contato ★</t>
  </si>
  <si>
    <t xml:space="preserve">Data</t>
  </si>
  <si>
    <t xml:space="preserve">Atualize sempre que falar com a cliente.</t>
  </si>
  <si>
    <t xml:space="preserve">Número de 0 a 3</t>
  </si>
  <si>
    <t xml:space="preserve">Volta para 0 quando a cliente responde.</t>
  </si>
  <si>
    <t xml:space="preserve">Avaliação</t>
  </si>
  <si>
    <t xml:space="preserve">Dia marcado da avaliação gratuita.</t>
  </si>
  <si>
    <t xml:space="preserve">Pacote</t>
  </si>
  <si>
    <t xml:space="preserve">Começa a contar a validade de 6 meses.</t>
  </si>
  <si>
    <t xml:space="preserve">Sessões contratadas / feitas</t>
  </si>
  <si>
    <t xml:space="preserve">Número</t>
  </si>
  <si>
    <t xml:space="preserve">Camila, Otávio ou Paula atualizam a cada sessão.</t>
  </si>
  <si>
    <t xml:space="preserve">6 meses depois da 1ª sessão.</t>
  </si>
  <si>
    <t xml:space="preserve">Retorno</t>
  </si>
  <si>
    <t xml:space="preserve">Calculado pelas regras de retorno. Domingo passa para segunda.</t>
  </si>
  <si>
    <t xml:space="preserve">Atrasado · Hoje · No prazo · Mover para Perdido</t>
  </si>
  <si>
    <t xml:space="preserve">Etiquetas</t>
  </si>
  <si>
    <t xml:space="preserve">Só pode sábado · Prefere áudio · Quer parcelar · Já fez em outra clínica · Perguntou do resultado · Pediu foto de antes e depois</t>
  </si>
  <si>
    <t xml:space="preserve">Motivo da perda ★</t>
  </si>
  <si>
    <t xml:space="preserve">Perda</t>
  </si>
  <si>
    <t xml:space="preserve">Obrigatório na etapa Perdido.</t>
  </si>
  <si>
    <t xml:space="preserve">Outros</t>
  </si>
  <si>
    <t xml:space="preserve">O que não couber nos campos acima.</t>
  </si>
  <si>
    <t xml:space="preserve">Não editar</t>
  </si>
  <si>
    <t xml:space="preserve">Guarda o que estava escrito antes, para conferência.</t>
  </si>
  <si>
    <t xml:space="preserve">Ainda não estão na planilha</t>
  </si>
  <si>
    <t xml:space="preserve">Próxima versão</t>
  </si>
  <si>
    <t xml:space="preserve">Valor da proposta, forma de pagamento, data de envio da proposta, profissional, autorização de foto (sim/não e data) e exceção aprovada pela Paula. Estão descritos no documento do produto.</t>
  </si>
  <si>
    <t xml:space="preserve">Quando a Nina volta a falar com a cliente.</t>
  </si>
  <si>
    <t xml:space="preserve">Situação</t>
  </si>
  <si>
    <t xml:space="preserve">Quando</t>
  </si>
  <si>
    <t xml:space="preserve">De onde vem a regra</t>
  </si>
  <si>
    <t xml:space="preserve">A planilha calcula sozinha?</t>
  </si>
  <si>
    <t xml:space="preserve">Contato novo parou de responder</t>
  </si>
  <si>
    <t xml:space="preserve">1 dia depois do último contato</t>
  </si>
  <si>
    <t xml:space="preserve">Roteiro do WhatsApp</t>
  </si>
  <si>
    <t xml:space="preserve">Sim</t>
  </si>
  <si>
    <t xml:space="preserve">Fez a avaliação e não respondeu à proposta</t>
  </si>
  <si>
    <t xml:space="preserve">2 dias depois do último contato</t>
  </si>
  <si>
    <t xml:space="preserve">Comprou o pacote</t>
  </si>
  <si>
    <t xml:space="preserve">Pós-venda 7 dias depois</t>
  </si>
  <si>
    <t xml:space="preserve">Contato sem data</t>
  </si>
  <si>
    <t xml:space="preserve">No mesmo dia</t>
  </si>
  <si>
    <t xml:space="preserve">Fez a 1ª sessão</t>
  </si>
  <si>
    <t xml:space="preserve">1 dia depois da 1ª sessão</t>
  </si>
  <si>
    <t xml:space="preserve">Oferta e preços (prazo sugerido)</t>
  </si>
  <si>
    <t xml:space="preserve">Fez criolipólise</t>
  </si>
  <si>
    <t xml:space="preserve">Marcar retorno com o Otávio aos 53 dias (consulta aos 60 dias)</t>
  </si>
  <si>
    <t xml:space="preserve">Oferta e preços</t>
  </si>
  <si>
    <t xml:space="preserve">Não: anotar na observação</t>
  </si>
  <si>
    <t xml:space="preserve">Cliente não responde</t>
  </si>
  <si>
    <t xml:space="preserve">Até 3 tentativas. Na 3ª, mover para Perdido</t>
  </si>
  <si>
    <t xml:space="preserve">Definido neste projeto</t>
  </si>
  <si>
    <t xml:space="preserve">Sim (avisa)</t>
  </si>
  <si>
    <t xml:space="preserve">Contato perdido</t>
  </si>
  <si>
    <t xml:space="preserve">Uma nova tentativa 60 dias depois</t>
  </si>
  <si>
    <t xml:space="preserve">Sugestão</t>
  </si>
  <si>
    <t xml:space="preserve">Lembrete na véspera</t>
  </si>
  <si>
    <t xml:space="preserve">Faltou ou pediu para remarcar a avaliação</t>
  </si>
  <si>
    <t xml:space="preserve">Sim (quando não há data de avaliação)</t>
  </si>
  <si>
    <t xml:space="preserve">Etiqueta achou caro ou vai pensar</t>
  </si>
  <si>
    <t xml:space="preserve">2 dias. Lembrar: 6x sem juros ou 10% à vista no Pix</t>
  </si>
  <si>
    <t xml:space="preserve">Marcar a próxima sessão 25 dias depois da última</t>
  </si>
  <si>
    <t xml:space="preserve">Oferta e preços (intervalo de 30 dias)</t>
  </si>
  <si>
    <t xml:space="preserve">Pacote perto de vencer</t>
  </si>
  <si>
    <t xml:space="preserve">30 dias antes da validade de 6 meses</t>
  </si>
  <si>
    <t xml:space="preserve">Fim do pacote (Pós-venda)</t>
  </si>
  <si>
    <t xml:space="preserve">Opinião e indicação 7 dias depois. Próximo tratamento 30 dias depois</t>
  </si>
  <si>
    <t xml:space="preserve">Sim (7 dias)</t>
  </si>
  <si>
    <t xml:space="preserve">Horário</t>
  </si>
  <si>
    <t xml:space="preserve">Seg a sex, 9h às 19h · sáb, 9h às 13h. Domingo passa para segunda</t>
  </si>
  <si>
    <t xml:space="preserve">Sim (domingo)</t>
  </si>
  <si>
    <t xml:space="preserve">Regras que ninguém quebra</t>
  </si>
  <si>
    <t xml:space="preserve">E o que o CRM faz para proteger cada uma.</t>
  </si>
  <si>
    <t xml:space="preserve">Regra</t>
  </si>
  <si>
    <t xml:space="preserve">O que o CRM faz</t>
  </si>
  <si>
    <t xml:space="preserve">Só vende pacote depois da avaliação.</t>
  </si>
  <si>
    <t xml:space="preserve">O cartão não vai para Fechou pacote sem avaliação feita.</t>
  </si>
  <si>
    <t xml:space="preserve">Desconto máximo de 10%, só à vista no Pix.</t>
  </si>
  <si>
    <t xml:space="preserve">A forma de pagamento só oferece Pix com 10%, débito ou crédito em até 6x.</t>
  </si>
  <si>
    <t xml:space="preserve">Nunca prometer resultado em centímetro ou em quilo.</t>
  </si>
  <si>
    <t xml:space="preserve">A etiqueta "Perguntou do resultado" traz o lembrete.</t>
  </si>
  <si>
    <t xml:space="preserve">Foto de antes e depois só com autorização por escrito.</t>
  </si>
  <si>
    <t xml:space="preserve">A etiqueta "Pediu foto de antes e depois" traz o lembrete.</t>
  </si>
  <si>
    <t xml:space="preserve">Proposta enviada no mesmo dia da avaliação.</t>
  </si>
  <si>
    <t xml:space="preserve">A Nina confere na lista de retornos do dia.</t>
  </si>
  <si>
    <t xml:space="preserve">Exceções só com a Paula, sempre por escrito.</t>
  </si>
  <si>
    <t xml:space="preserve">Registrar na observação, com a data.</t>
  </si>
  <si>
    <t xml:space="preserve">Quem usa o CRM</t>
  </si>
  <si>
    <t xml:space="preserve">Pessoa</t>
  </si>
  <si>
    <t xml:space="preserve">Papel na clínica</t>
  </si>
  <si>
    <t xml:space="preserve">O que faz no CRM</t>
  </si>
  <si>
    <t xml:space="preserve">Recepção e WhatsApp</t>
  </si>
  <si>
    <t xml:space="preserve">Cadastra cada contato, move as clientes de etapa, registra cada conversa, trabalha os retornos do dia e envia as propostas.</t>
  </si>
  <si>
    <t xml:space="preserve">Otávio</t>
  </si>
  <si>
    <t xml:space="preserve">Biomédico esteta: avaliações, criolipólise e laser</t>
  </si>
  <si>
    <t xml:space="preserve">Registra a avaliação feita, o tratamento indicado e a proposta. Acompanha o retorno de 60 dias da criolipólise.</t>
  </si>
  <si>
    <t xml:space="preserve">Camila</t>
  </si>
  <si>
    <t xml:space="preserve">Terapeuta corporal: drenagem e modeladora</t>
  </si>
  <si>
    <t xml:space="preserve">Marca as sessões feitas das clientes em tratamento corporal.</t>
  </si>
  <si>
    <t xml:space="preserve">Paula</t>
  </si>
  <si>
    <t xml:space="preserve">Fundadora: define preços e exceções</t>
  </si>
  <si>
    <t xml:space="preserve">Acompanha o Painel e aprova as exceções, por escrito.</t>
  </si>
  <si>
    <t xml:space="preserve">Pontos para a Paula confirmar</t>
  </si>
  <si>
    <t xml:space="preserve">Regras sugeridas: os documentos da clínica não dizem o prazo.</t>
  </si>
  <si>
    <t xml:space="preserve">Pergunta</t>
  </si>
  <si>
    <t xml:space="preserve">Sugestão usada na planilha</t>
  </si>
  <si>
    <t xml:space="preserve">Resposta da Paula</t>
  </si>
  <si>
    <t xml:space="preserve">Retorno depois da 1ª sessão</t>
  </si>
  <si>
    <t xml:space="preserve">1 dia depois</t>
  </si>
  <si>
    <t xml:space="preserve">Lembrete na véspera da avaliação</t>
  </si>
  <si>
    <t xml:space="preserve">Nova tentativa com quem foi para Perdido</t>
  </si>
  <si>
    <t xml:space="preserve">60 dias depois, uma única vez</t>
  </si>
  <si>
    <t xml:space="preserve">Oferecer o próximo tratamento depois do fim do pacote</t>
  </si>
  <si>
    <t xml:space="preserve">30 dias depois</t>
  </si>
  <si>
    <t xml:space="preserve">Otávio e Camila podem mudar a etapa da cliente?</t>
  </si>
  <si>
    <t xml:space="preserve">Só registram avaliações e sessões</t>
  </si>
  <si>
    <t xml:space="preserve">Listas dos menus</t>
  </si>
  <si>
    <t xml:space="preserve">Para incluir uma opção nova, escreva no fim da coluna certa.</t>
  </si>
  <si>
    <t xml:space="preserve">Pagamento</t>
  </si>
  <si>
    <t xml:space="preserve">Achou caro</t>
  </si>
  <si>
    <t xml:space="preserve">Pix à vista (10% de desconto)</t>
  </si>
  <si>
    <t xml:space="preserve">Não respondeu (3 tentativas)</t>
  </si>
  <si>
    <t xml:space="preserve">Débito</t>
  </si>
  <si>
    <t xml:space="preserve">Fechou em outra clínica</t>
  </si>
  <si>
    <t xml:space="preserve">Crédito em até 6x</t>
  </si>
  <si>
    <t xml:space="preserve">Horário não serve</t>
  </si>
  <si>
    <t xml:space="preserve">Desistiu do tratamento</t>
  </si>
  <si>
    <t xml:space="preserve">Ainda não sabe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</si>
</sst>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A3E4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7A3E4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A3E48"/>
        <bgColor rgb="FF993366"/>
      </patternFill>
    </fill>
    <fill>
      <patternFill patternType="solid">
        <fgColor rgb="FFFFF9DB"/>
        <bgColor rgb="FFF6EDEE"/>
      </patternFill>
    </fill>
    <fill>
      <patternFill patternType="solid">
        <fgColor rgb="FFF6EDEE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CA"/>
      </left>
      <right style="thin">
        <color rgb="FFD9C7CA"/>
      </right>
      <top style="thin">
        <color rgb="FFD9C7CA"/>
      </top>
      <bottom style="thin">
        <color rgb="FFD9C7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7A3E48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6EDEE"/>
          <bgColor rgb="FF000000"/>
        </patternFill>
      </fill>
    </dxf>
    <dxf>
      <fill>
        <patternFill patternType="solid">
          <fgColor rgb="FFDFF0E1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E8B3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E8B3"/>
        </patternFill>
      </fill>
    </dxf>
    <dxf>
      <font>
        <name val="Arial"/>
        <charset val="1"/>
        <family val="0"/>
        <b val="1"/>
        <color rgb="FF4B2E83"/>
      </font>
      <fill>
        <patternFill>
          <bgColor rgb="FFE5DBF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0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A5A00"/>
      <rgbColor rgb="FF800080"/>
      <rgbColor rgb="FF008080"/>
      <rgbColor rgb="FFD9C7CA"/>
      <rgbColor rgb="FF808080"/>
      <rgbColor rgb="FF9999FF"/>
      <rgbColor rgb="FF7A3E48"/>
      <rgbColor rgb="FFFFF9DB"/>
      <rgbColor rgb="FFF6EDEE"/>
      <rgbColor rgb="FF660066"/>
      <rgbColor rgb="FFFF8080"/>
      <rgbColor rgb="FF0066CC"/>
      <rgbColor rgb="FFE5DB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E1"/>
      <rgbColor rgb="FFFFE8B3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B1C1C"/>
      <rgbColor rgb="FF993366"/>
      <rgbColor rgb="FF4B2E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5" t="s">
        <v>20</v>
      </c>
      <c r="B14" s="4"/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/>
      <c r="B19" s="4"/>
    </row>
    <row r="20" customFormat="false" ht="23.85" hidden="false" customHeight="false" outlineLevel="0" collapsed="false">
      <c r="A20" s="3" t="s">
        <v>29</v>
      </c>
      <c r="B20" s="4" t="s">
        <v>30</v>
      </c>
    </row>
    <row r="21" customFormat="false" ht="23.85" hidden="false" customHeight="false" outlineLevel="0" collapsed="false">
      <c r="A21" s="3" t="s">
        <v>31</v>
      </c>
      <c r="B21" s="4" t="s">
        <v>32</v>
      </c>
    </row>
    <row r="22" customFormat="false" ht="15" hidden="false" customHeight="false" outlineLevel="0" collapsed="false">
      <c r="A22" s="3" t="s">
        <v>33</v>
      </c>
      <c r="B22" s="4" t="s">
        <v>34</v>
      </c>
    </row>
    <row r="23" customFormat="false" ht="23.85" hidden="false" customHeight="false" outlineLevel="0" collapsed="false">
      <c r="A23" s="3" t="s">
        <v>35</v>
      </c>
      <c r="B23" s="4" t="s">
        <v>36</v>
      </c>
    </row>
    <row r="24" customFormat="false" ht="15" hidden="false" customHeight="false" outlineLevel="0" collapsed="false">
      <c r="A24" s="3" t="s">
        <v>37</v>
      </c>
      <c r="B24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6" t="s">
        <v>41</v>
      </c>
      <c r="B4" s="6" t="s">
        <v>42</v>
      </c>
      <c r="D4" s="6" t="s">
        <v>43</v>
      </c>
      <c r="E4" s="6" t="s">
        <v>42</v>
      </c>
    </row>
    <row r="5" customFormat="false" ht="15" hidden="false" customHeight="false" outlineLevel="0" collapsed="false">
      <c r="A5" s="7" t="s">
        <v>44</v>
      </c>
      <c r="B5" s="7" t="n">
        <f aca="false">COUNTIF(Clientes!$G$2:$G$500,A5)</f>
        <v>8</v>
      </c>
      <c r="D5" s="7" t="s">
        <v>45</v>
      </c>
      <c r="E5" s="7" t="n">
        <f aca="false">COUNTIF(Clientes!$R$2:$R$500,D5)</f>
        <v>52</v>
      </c>
    </row>
    <row r="6" customFormat="false" ht="15" hidden="false" customHeight="false" outlineLevel="0" collapsed="false">
      <c r="A6" s="7" t="s">
        <v>46</v>
      </c>
      <c r="B6" s="7" t="n">
        <f aca="false">COUNTIF(Clientes!$G$2:$G$500,A6)</f>
        <v>28</v>
      </c>
      <c r="D6" s="7" t="s">
        <v>47</v>
      </c>
      <c r="E6" s="7" t="n">
        <f aca="false">COUNTIF(Clientes!$R$2:$R$500,D6)</f>
        <v>27</v>
      </c>
    </row>
    <row r="7" customFormat="false" ht="15" hidden="false" customHeight="false" outlineLevel="0" collapsed="false">
      <c r="A7" s="7" t="s">
        <v>48</v>
      </c>
      <c r="B7" s="7" t="n">
        <f aca="false">COUNTIF(Clientes!$G$2:$G$500,A7)</f>
        <v>18</v>
      </c>
      <c r="D7" s="7" t="s">
        <v>49</v>
      </c>
      <c r="E7" s="7" t="n">
        <f aca="false">COUNTIF(Clientes!$R$2:$R$500,D7)</f>
        <v>0</v>
      </c>
    </row>
    <row r="8" customFormat="false" ht="15" hidden="false" customHeight="false" outlineLevel="0" collapsed="false">
      <c r="A8" s="7" t="s">
        <v>50</v>
      </c>
      <c r="B8" s="7" t="n">
        <f aca="false">COUNTIF(Clientes!$G$2:$G$500,A8)</f>
        <v>18</v>
      </c>
      <c r="D8" s="7" t="s">
        <v>51</v>
      </c>
      <c r="E8" s="7" t="n">
        <f aca="false">COUNTIF(Clientes!$R$2:$R$500,D8)</f>
        <v>1</v>
      </c>
    </row>
    <row r="9" customFormat="false" ht="15" hidden="false" customHeight="false" outlineLevel="0" collapsed="false">
      <c r="A9" s="7" t="s">
        <v>52</v>
      </c>
      <c r="B9" s="7" t="n">
        <f aca="false">COUNTIF(Clientes!$G$2:$G$500,A9)</f>
        <v>8</v>
      </c>
    </row>
    <row r="10" customFormat="false" ht="15" hidden="false" customHeight="false" outlineLevel="0" collapsed="false">
      <c r="A10" s="7" t="s">
        <v>53</v>
      </c>
      <c r="B10" s="7" t="n">
        <f aca="false">COUNTIF(Clientes!$G$2:$G$500,A10)</f>
        <v>0</v>
      </c>
    </row>
    <row r="11" customFormat="false" ht="15" hidden="false" customHeight="false" outlineLevel="0" collapsed="false">
      <c r="A11" s="7" t="s">
        <v>54</v>
      </c>
      <c r="B11" s="7" t="n">
        <f aca="false">COUNTIF(Clientes!$G$2:$G$500,A11)</f>
        <v>0</v>
      </c>
      <c r="D11" s="8" t="s">
        <v>55</v>
      </c>
      <c r="E11" s="8" t="s">
        <v>42</v>
      </c>
    </row>
    <row r="12" customFormat="false" ht="15" hidden="false" customHeight="false" outlineLevel="0" collapsed="false">
      <c r="A12" s="7" t="s">
        <v>56</v>
      </c>
      <c r="B12" s="7" t="n">
        <f aca="false">COUNTIF(Clientes!$G$2:$G$500,A12)</f>
        <v>0</v>
      </c>
      <c r="D12" s="7" t="s">
        <v>57</v>
      </c>
      <c r="E12" s="7" t="n">
        <f aca="false">COUNTIF(Clientes!$C$2:$C$500,D12)</f>
        <v>30</v>
      </c>
    </row>
    <row r="13" customFormat="false" ht="15" hidden="false" customHeight="false" outlineLevel="0" collapsed="false">
      <c r="A13" s="9" t="s">
        <v>58</v>
      </c>
      <c r="B13" s="9" t="n">
        <f aca="false">SUM(B5:B12)</f>
        <v>80</v>
      </c>
      <c r="D13" s="7" t="s">
        <v>59</v>
      </c>
      <c r="E13" s="7" t="n">
        <f aca="false">COUNTIF(Clientes!$C$2:$C$500,D13)</f>
        <v>11</v>
      </c>
    </row>
    <row r="14" customFormat="false" ht="15" hidden="false" customHeight="false" outlineLevel="0" collapsed="false">
      <c r="D14" s="7" t="s">
        <v>60</v>
      </c>
      <c r="E14" s="7" t="n">
        <f aca="false">COUNTIF(Clientes!$C$2:$C$500,D14)</f>
        <v>5</v>
      </c>
    </row>
    <row r="15" customFormat="false" ht="15" hidden="false" customHeight="false" outlineLevel="0" collapsed="false">
      <c r="A15" s="8" t="s">
        <v>61</v>
      </c>
      <c r="B15" s="8"/>
      <c r="D15" s="7" t="s">
        <v>62</v>
      </c>
      <c r="E15" s="7" t="n">
        <f aca="false">COUNTIF(Clientes!$C$2:$C$500,D15)</f>
        <v>26</v>
      </c>
    </row>
    <row r="16" customFormat="false" ht="15" hidden="false" customHeight="false" outlineLevel="0" collapsed="false">
      <c r="A16" s="7" t="s">
        <v>63</v>
      </c>
      <c r="B16" s="7" t="n">
        <f aca="false">B9+B10+B11</f>
        <v>8</v>
      </c>
      <c r="D16" s="7" t="s">
        <v>64</v>
      </c>
      <c r="E16" s="7" t="n">
        <f aca="false">COUNTIF(Clientes!$C$2:$C$500,D16)</f>
        <v>0</v>
      </c>
    </row>
    <row r="17" customFormat="false" ht="15" hidden="false" customHeight="false" outlineLevel="0" collapsed="false">
      <c r="A17" s="7" t="s">
        <v>65</v>
      </c>
      <c r="B17" s="7" t="n">
        <f aca="false">B8</f>
        <v>18</v>
      </c>
      <c r="D17" s="7" t="s">
        <v>66</v>
      </c>
      <c r="E17" s="7" t="n">
        <f aca="false">COUNTIF(Clientes!$C$2:$C$500,D17)</f>
        <v>0</v>
      </c>
    </row>
    <row r="18" customFormat="false" ht="15" hidden="false" customHeight="false" outlineLevel="0" collapsed="false">
      <c r="A18" s="9" t="s">
        <v>67</v>
      </c>
      <c r="B18" s="10" t="n">
        <f aca="false">IF(B16+B17=0,0,B16/(B16+B17))</f>
        <v>0.307692307692308</v>
      </c>
      <c r="D18" s="7" t="s">
        <v>68</v>
      </c>
      <c r="E18" s="7" t="n">
        <f aca="false">COUNTIF(Clientes!$C$2:$C$500,D18)</f>
        <v>8</v>
      </c>
    </row>
    <row r="19" customFormat="false" ht="15" hidden="false" customHeight="false" outlineLevel="0" collapsed="false">
      <c r="A19" s="2" t="s">
        <v>69</v>
      </c>
    </row>
    <row r="20" customFormat="false" ht="15" hidden="false" customHeight="false" outlineLevel="0" collapsed="false">
      <c r="A20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7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7" min="16" style="0" width="12"/>
    <col collapsed="false" customWidth="true" hidden="false" outlineLevel="0" max="18" min="18" style="0" width="16"/>
    <col collapsed="false" customWidth="true" hidden="false" outlineLevel="0" max="19" min="19" style="0" width="30"/>
    <col collapsed="false" customWidth="true" hidden="false" outlineLevel="0" max="20" min="20" style="0" width="22"/>
    <col collapsed="false" customWidth="true" hidden="false" outlineLevel="0" max="21" min="21" style="0" width="32"/>
    <col collapsed="false" customWidth="true" hidden="false" outlineLevel="0" max="22" min="22" style="0" width="18"/>
    <col collapsed="false" customWidth="true" hidden="true" outlineLevel="0" max="23" min="23" style="0" width="10"/>
  </cols>
  <sheetData>
    <row r="1" customFormat="false" ht="42" hidden="false" customHeight="true" outlineLevel="0" collapsed="false">
      <c r="A1" s="11" t="s">
        <v>71</v>
      </c>
      <c r="B1" s="11" t="s">
        <v>72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11" t="s">
        <v>79</v>
      </c>
      <c r="J1" s="11" t="s">
        <v>80</v>
      </c>
      <c r="K1" s="11" t="s">
        <v>81</v>
      </c>
      <c r="L1" s="11" t="s">
        <v>82</v>
      </c>
      <c r="M1" s="11" t="s">
        <v>83</v>
      </c>
      <c r="N1" s="11" t="s">
        <v>84</v>
      </c>
      <c r="O1" s="11" t="s">
        <v>85</v>
      </c>
      <c r="P1" s="11" t="s">
        <v>86</v>
      </c>
      <c r="Q1" s="11" t="s">
        <v>87</v>
      </c>
      <c r="R1" s="11" t="s">
        <v>88</v>
      </c>
      <c r="S1" s="11" t="s">
        <v>89</v>
      </c>
      <c r="T1" s="11" t="s">
        <v>90</v>
      </c>
      <c r="U1" s="11" t="s">
        <v>91</v>
      </c>
      <c r="V1" s="11" t="s">
        <v>92</v>
      </c>
      <c r="W1" s="11" t="s">
        <v>93</v>
      </c>
    </row>
    <row r="2" customFormat="false" ht="15" hidden="false" customHeight="false" outlineLevel="0" collapsed="false">
      <c r="A2" s="12" t="s">
        <v>94</v>
      </c>
      <c r="B2" s="12" t="s">
        <v>95</v>
      </c>
      <c r="C2" s="12" t="s">
        <v>62</v>
      </c>
      <c r="D2" s="12"/>
      <c r="E2" s="12" t="s">
        <v>96</v>
      </c>
      <c r="F2" s="13" t="str">
        <f aca="false">IF(OR(E2="",E2="A completar",E2="Ainda não sabe"),"",IF(OR(E2="Limpeza de pele",E2="Peeling de diamante",E2="Microagulhamento"),"Rosto","Corpo"))</f>
        <v>Corpo</v>
      </c>
      <c r="G2" s="12" t="s">
        <v>48</v>
      </c>
      <c r="H2" s="12"/>
      <c r="I2" s="12" t="s">
        <v>97</v>
      </c>
      <c r="J2" s="14" t="n">
        <v>46256</v>
      </c>
      <c r="K2" s="12" t="n">
        <v>0</v>
      </c>
      <c r="L2" s="14"/>
      <c r="M2" s="14"/>
      <c r="N2" s="12"/>
      <c r="O2" s="12"/>
      <c r="P2" s="15" t="str">
        <f aca="false">IF(M2="","",EDATE(M2,6))</f>
        <v/>
      </c>
      <c r="Q2" s="15" t="n">
        <f aca="false">IF(W2="","",IF(WEEKDAY(W2)=1,W2+1,W2))</f>
        <v>46309</v>
      </c>
      <c r="R2" s="13" t="str">
        <f aca="true">IF(Q2="","",IF(AND(N(K2)&gt;=3,G2&lt;&gt;"Perdido"),"Mover para Perdido",IF(Q2&lt;TODAY(),"Atrasado",IF(Q2=TODAY(),"Hoje","No prazo"))))</f>
        <v>Hoje</v>
      </c>
      <c r="S2" s="12"/>
      <c r="T2" s="12"/>
      <c r="U2" s="12"/>
      <c r="V2" s="7" t="s">
        <v>98</v>
      </c>
      <c r="W2" s="15" t="n">
        <f aca="true">IF(G2="","",IF(OR(G2="Novo contato",G2="Em conversa"),IF(J2="",TODAY(),J2+1),IF(G2="Avaliação marcada",IF(L2="",TODAY(),L2-1),IF(G2="Proposta enviada",IF(J2="",TODAY(),J2+2),IF(G2="Fechou pacote",IF(J2="",TODAY(),J2+7),IF(G2="Em tratamento",IF(M2="",TODAY(),IF(TODAY()&lt;=M2+1,M2+1,EDATE(M2,6)-30)),IF(G2="Pós-venda",IF(J2="",TODAY(),J2+7),IF(G2="Perdido",IF(J2="",TODAY(),J2+60),""))))))))</f>
        <v>46309</v>
      </c>
    </row>
    <row r="3" customFormat="false" ht="15" hidden="false" customHeight="false" outlineLevel="0" collapsed="false">
      <c r="A3" s="12" t="s">
        <v>99</v>
      </c>
      <c r="B3" s="12" t="s">
        <v>100</v>
      </c>
      <c r="C3" s="12" t="s">
        <v>62</v>
      </c>
      <c r="D3" s="12"/>
      <c r="E3" s="12" t="s">
        <v>101</v>
      </c>
      <c r="F3" s="13" t="str">
        <f aca="false">IF(OR(E3="",E3="A completar",E3="Ainda não sabe"),"",IF(OR(E3="Limpeza de pele",E3="Peeling de diamante",E3="Microagulhamento"),"Rosto","Corpo"))</f>
        <v>Corpo</v>
      </c>
      <c r="G3" s="12" t="s">
        <v>46</v>
      </c>
      <c r="H3" s="12"/>
      <c r="I3" s="12" t="s">
        <v>97</v>
      </c>
      <c r="J3" s="14"/>
      <c r="K3" s="12" t="n">
        <v>1</v>
      </c>
      <c r="L3" s="14"/>
      <c r="M3" s="14"/>
      <c r="N3" s="12"/>
      <c r="O3" s="12"/>
      <c r="P3" s="15" t="str">
        <f aca="false">IF(M3="","",EDATE(M3,6))</f>
        <v/>
      </c>
      <c r="Q3" s="15" t="n">
        <f aca="false">IF(W3="","",IF(WEEKDAY(W3)=1,W3+1,W3))</f>
        <v>46309</v>
      </c>
      <c r="R3" s="13" t="str">
        <f aca="true">IF(Q3="","",IF(AND(N(K3)&gt;=3,G3&lt;&gt;"Perdido"),"Mover para Perdido",IF(Q3&lt;TODAY(),"Atrasado",IF(Q3=TODAY(),"Hoje","No prazo"))))</f>
        <v>Hoje</v>
      </c>
      <c r="S3" s="12"/>
      <c r="T3" s="12"/>
      <c r="U3" s="12"/>
      <c r="V3" s="7" t="s">
        <v>102</v>
      </c>
      <c r="W3" s="15" t="n">
        <f aca="true">IF(G3="","",IF(OR(G3="Novo contato",G3="Em conversa"),IF(J3="",TODAY(),J3+1),IF(G3="Avaliação marcada",IF(L3="",TODAY(),L3-1),IF(G3="Proposta enviada",IF(J3="",TODAY(),J3+2),IF(G3="Fechou pacote",IF(J3="",TODAY(),J3+7),IF(G3="Em tratamento",IF(M3="",TODAY(),IF(TODAY()&lt;=M3+1,M3+1,EDATE(M3,6)-30)),IF(G3="Pós-venda",IF(J3="",TODAY(),J3+7),IF(G3="Perdido",IF(J3="",TODAY(),J3+60),""))))))))</f>
        <v>46309</v>
      </c>
    </row>
    <row r="4" customFormat="false" ht="15" hidden="false" customHeight="false" outlineLevel="0" collapsed="false">
      <c r="A4" s="12" t="s">
        <v>103</v>
      </c>
      <c r="B4" s="12" t="s">
        <v>104</v>
      </c>
      <c r="C4" s="12" t="s">
        <v>57</v>
      </c>
      <c r="D4" s="12"/>
      <c r="E4" s="12" t="s">
        <v>105</v>
      </c>
      <c r="F4" s="13" t="str">
        <f aca="false">IF(OR(E4="",E4="A completar",E4="Ainda não sabe"),"",IF(OR(E4="Limpeza de pele",E4="Peeling de diamante",E4="Microagulhamento"),"Rosto","Corpo"))</f>
        <v>Rosto</v>
      </c>
      <c r="G4" s="12" t="s">
        <v>50</v>
      </c>
      <c r="H4" s="12"/>
      <c r="I4" s="12" t="s">
        <v>97</v>
      </c>
      <c r="J4" s="14" t="n">
        <v>46300</v>
      </c>
      <c r="K4" s="12" t="n">
        <v>0</v>
      </c>
      <c r="L4" s="14"/>
      <c r="M4" s="14"/>
      <c r="N4" s="12"/>
      <c r="O4" s="12"/>
      <c r="P4" s="15" t="str">
        <f aca="false">IF(M4="","",EDATE(M4,6))</f>
        <v/>
      </c>
      <c r="Q4" s="15" t="n">
        <f aca="false">IF(W4="","",IF(WEEKDAY(W4)=1,W4+1,W4))</f>
        <v>46302</v>
      </c>
      <c r="R4" s="13" t="str">
        <f aca="true">IF(Q4="","",IF(AND(N(K4)&gt;=3,G4&lt;&gt;"Perdido"),"Mover para Perdido",IF(Q4&lt;TODAY(),"Atrasado",IF(Q4=TODAY(),"Hoje","No prazo"))))</f>
        <v>Atrasado</v>
      </c>
      <c r="S4" s="12" t="s">
        <v>106</v>
      </c>
      <c r="T4" s="12"/>
      <c r="U4" s="12"/>
      <c r="V4" s="7" t="s">
        <v>107</v>
      </c>
      <c r="W4" s="15" t="n">
        <f aca="true">IF(G4="","",IF(OR(G4="Novo contato",G4="Em conversa"),IF(J4="",TODAY(),J4+1),IF(G4="Avaliação marcada",IF(L4="",TODAY(),L4-1),IF(G4="Proposta enviada",IF(J4="",TODAY(),J4+2),IF(G4="Fechou pacote",IF(J4="",TODAY(),J4+7),IF(G4="Em tratamento",IF(M4="",TODAY(),IF(TODAY()&lt;=M4+1,M4+1,EDATE(M4,6)-30)),IF(G4="Pós-venda",IF(J4="",TODAY(),J4+7),IF(G4="Perdido",IF(J4="",TODAY(),J4+60),""))))))))</f>
        <v>46302</v>
      </c>
    </row>
    <row r="5" customFormat="false" ht="15" hidden="false" customHeight="false" outlineLevel="0" collapsed="false">
      <c r="A5" s="12" t="s">
        <v>108</v>
      </c>
      <c r="B5" s="12" t="s">
        <v>109</v>
      </c>
      <c r="C5" s="12" t="s">
        <v>60</v>
      </c>
      <c r="D5" s="12"/>
      <c r="E5" s="12" t="s">
        <v>110</v>
      </c>
      <c r="F5" s="13" t="str">
        <f aca="false">IF(OR(E5="",E5="A completar",E5="Ainda não sabe"),"",IF(OR(E5="Limpeza de pele",E5="Peeling de diamante",E5="Microagulhamento"),"Rosto","Corpo"))</f>
        <v>Corpo</v>
      </c>
      <c r="G5" s="12" t="s">
        <v>46</v>
      </c>
      <c r="H5" s="12"/>
      <c r="I5" s="12" t="s">
        <v>97</v>
      </c>
      <c r="J5" s="14" t="n">
        <v>46278</v>
      </c>
      <c r="K5" s="12" t="n">
        <v>1</v>
      </c>
      <c r="L5" s="14"/>
      <c r="M5" s="14"/>
      <c r="N5" s="12"/>
      <c r="O5" s="12"/>
      <c r="P5" s="15" t="str">
        <f aca="false">IF(M5="","",EDATE(M5,6))</f>
        <v/>
      </c>
      <c r="Q5" s="15" t="n">
        <f aca="false">IF(W5="","",IF(WEEKDAY(W5)=1,W5+1,W5))</f>
        <v>46279</v>
      </c>
      <c r="R5" s="13" t="str">
        <f aca="true">IF(Q5="","",IF(AND(N(K5)&gt;=3,G5&lt;&gt;"Perdido"),"Mover para Perdido",IF(Q5&lt;TODAY(),"Atrasado",IF(Q5=TODAY(),"Hoje","No prazo"))))</f>
        <v>Atrasado</v>
      </c>
      <c r="S5" s="12" t="s">
        <v>111</v>
      </c>
      <c r="T5" s="12"/>
      <c r="U5" s="12"/>
      <c r="V5" s="7" t="s">
        <v>112</v>
      </c>
      <c r="W5" s="15" t="n">
        <f aca="true">IF(G5="","",IF(OR(G5="Novo contato",G5="Em conversa"),IF(J5="",TODAY(),J5+1),IF(G5="Avaliação marcada",IF(L5="",TODAY(),L5-1),IF(G5="Proposta enviada",IF(J5="",TODAY(),J5+2),IF(G5="Fechou pacote",IF(J5="",TODAY(),J5+7),IF(G5="Em tratamento",IF(M5="",TODAY(),IF(TODAY()&lt;=M5+1,M5+1,EDATE(M5,6)-30)),IF(G5="Pós-venda",IF(J5="",TODAY(),J5+7),IF(G5="Perdido",IF(J5="",TODAY(),J5+60),""))))))))</f>
        <v>46279</v>
      </c>
    </row>
    <row r="6" customFormat="false" ht="15" hidden="false" customHeight="false" outlineLevel="0" collapsed="false">
      <c r="A6" s="12" t="s">
        <v>113</v>
      </c>
      <c r="B6" s="12" t="s">
        <v>114</v>
      </c>
      <c r="C6" s="12" t="s">
        <v>68</v>
      </c>
      <c r="D6" s="12"/>
      <c r="E6" s="12" t="s">
        <v>115</v>
      </c>
      <c r="F6" s="13" t="str">
        <f aca="false">IF(OR(E6="",E6="A completar",E6="Ainda não sabe"),"",IF(OR(E6="Limpeza de pele",E6="Peeling de diamante",E6="Microagulhamento"),"Rosto","Corpo"))</f>
        <v>Rosto</v>
      </c>
      <c r="G6" s="12" t="s">
        <v>50</v>
      </c>
      <c r="H6" s="12" t="s">
        <v>116</v>
      </c>
      <c r="I6" s="12" t="s">
        <v>97</v>
      </c>
      <c r="J6" s="14" t="n">
        <v>46295</v>
      </c>
      <c r="K6" s="12" t="n">
        <v>0</v>
      </c>
      <c r="L6" s="14"/>
      <c r="M6" s="14"/>
      <c r="N6" s="12"/>
      <c r="O6" s="12"/>
      <c r="P6" s="15" t="str">
        <f aca="false">IF(M6="","",EDATE(M6,6))</f>
        <v/>
      </c>
      <c r="Q6" s="15" t="n">
        <f aca="false">IF(W6="","",IF(WEEKDAY(W6)=1,W6+1,W6))</f>
        <v>46297</v>
      </c>
      <c r="R6" s="13" t="str">
        <f aca="true">IF(Q6="","",IF(AND(N(K6)&gt;=3,G6&lt;&gt;"Perdido"),"Mover para Perdido",IF(Q6&lt;TODAY(),"Atrasado",IF(Q6=TODAY(),"Hoje","No prazo"))))</f>
        <v>Atrasado</v>
      </c>
      <c r="S6" s="12"/>
      <c r="T6" s="12"/>
      <c r="U6" s="12"/>
      <c r="V6" s="7" t="s">
        <v>116</v>
      </c>
      <c r="W6" s="15" t="n">
        <f aca="true">IF(G6="","",IF(OR(G6="Novo contato",G6="Em conversa"),IF(J6="",TODAY(),J6+1),IF(G6="Avaliação marcada",IF(L6="",TODAY(),L6-1),IF(G6="Proposta enviada",IF(J6="",TODAY(),J6+2),IF(G6="Fechou pacote",IF(J6="",TODAY(),J6+7),IF(G6="Em tratamento",IF(M6="",TODAY(),IF(TODAY()&lt;=M6+1,M6+1,EDATE(M6,6)-30)),IF(G6="Pós-venda",IF(J6="",TODAY(),J6+7),IF(G6="Perdido",IF(J6="",TODAY(),J6+60),""))))))))</f>
        <v>46297</v>
      </c>
    </row>
    <row r="7" customFormat="false" ht="15" hidden="false" customHeight="false" outlineLevel="0" collapsed="false">
      <c r="A7" s="12" t="s">
        <v>117</v>
      </c>
      <c r="B7" s="12" t="s">
        <v>118</v>
      </c>
      <c r="C7" s="12" t="s">
        <v>59</v>
      </c>
      <c r="D7" s="12"/>
      <c r="E7" s="12" t="s">
        <v>96</v>
      </c>
      <c r="F7" s="13" t="str">
        <f aca="false">IF(OR(E7="",E7="A completar",E7="Ainda não sabe"),"",IF(OR(E7="Limpeza de pele",E7="Peeling de diamante",E7="Microagulhamento"),"Rosto","Corpo"))</f>
        <v>Corpo</v>
      </c>
      <c r="G7" s="12" t="s">
        <v>46</v>
      </c>
      <c r="H7" s="12"/>
      <c r="I7" s="12" t="s">
        <v>97</v>
      </c>
      <c r="J7" s="14" t="n">
        <v>46267</v>
      </c>
      <c r="K7" s="12" t="n">
        <v>1</v>
      </c>
      <c r="L7" s="14"/>
      <c r="M7" s="14"/>
      <c r="N7" s="12"/>
      <c r="O7" s="12"/>
      <c r="P7" s="15" t="str">
        <f aca="false">IF(M7="","",EDATE(M7,6))</f>
        <v/>
      </c>
      <c r="Q7" s="15" t="n">
        <f aca="false">IF(W7="","",IF(WEEKDAY(W7)=1,W7+1,W7))</f>
        <v>46268</v>
      </c>
      <c r="R7" s="13" t="str">
        <f aca="true">IF(Q7="","",IF(AND(N(K7)&gt;=3,G7&lt;&gt;"Perdido"),"Mover para Perdido",IF(Q7&lt;TODAY(),"Atrasado",IF(Q7=TODAY(),"Hoje","No prazo"))))</f>
        <v>Atrasado</v>
      </c>
      <c r="S7" s="12" t="s">
        <v>106</v>
      </c>
      <c r="T7" s="12"/>
      <c r="U7" s="12"/>
      <c r="V7" s="7" t="s">
        <v>112</v>
      </c>
      <c r="W7" s="15" t="n">
        <f aca="true">IF(G7="","",IF(OR(G7="Novo contato",G7="Em conversa"),IF(J7="",TODAY(),J7+1),IF(G7="Avaliação marcada",IF(L7="",TODAY(),L7-1),IF(G7="Proposta enviada",IF(J7="",TODAY(),J7+2),IF(G7="Fechou pacote",IF(J7="",TODAY(),J7+7),IF(G7="Em tratamento",IF(M7="",TODAY(),IF(TODAY()&lt;=M7+1,M7+1,EDATE(M7,6)-30)),IF(G7="Pós-venda",IF(J7="",TODAY(),J7+7),IF(G7="Perdido",IF(J7="",TODAY(),J7+60),""))))))))</f>
        <v>46268</v>
      </c>
    </row>
    <row r="8" customFormat="false" ht="15" hidden="false" customHeight="false" outlineLevel="0" collapsed="false">
      <c r="A8" s="12" t="s">
        <v>119</v>
      </c>
      <c r="B8" s="12" t="s">
        <v>120</v>
      </c>
      <c r="C8" s="12" t="s">
        <v>57</v>
      </c>
      <c r="D8" s="12"/>
      <c r="E8" s="12" t="s">
        <v>115</v>
      </c>
      <c r="F8" s="13" t="str">
        <f aca="false">IF(OR(E8="",E8="A completar",E8="Ainda não sabe"),"",IF(OR(E8="Limpeza de pele",E8="Peeling de diamante",E8="Microagulhamento"),"Rosto","Corpo"))</f>
        <v>Rosto</v>
      </c>
      <c r="G8" s="12" t="s">
        <v>50</v>
      </c>
      <c r="H8" s="12"/>
      <c r="I8" s="12" t="s">
        <v>97</v>
      </c>
      <c r="J8" s="14" t="n">
        <v>46291</v>
      </c>
      <c r="K8" s="12" t="n">
        <v>0</v>
      </c>
      <c r="L8" s="14"/>
      <c r="M8" s="14"/>
      <c r="N8" s="12"/>
      <c r="O8" s="12"/>
      <c r="P8" s="15" t="str">
        <f aca="false">IF(M8="","",EDATE(M8,6))</f>
        <v/>
      </c>
      <c r="Q8" s="15" t="n">
        <f aca="false">IF(W8="","",IF(WEEKDAY(W8)=1,W8+1,W8))</f>
        <v>46293</v>
      </c>
      <c r="R8" s="13" t="str">
        <f aca="true">IF(Q8="","",IF(AND(N(K8)&gt;=3,G8&lt;&gt;"Perdido"),"Mover para Perdido",IF(Q8&lt;TODAY(),"Atrasado",IF(Q8=TODAY(),"Hoje","No prazo"))))</f>
        <v>Atrasado</v>
      </c>
      <c r="S8" s="12" t="s">
        <v>121</v>
      </c>
      <c r="T8" s="12"/>
      <c r="U8" s="12"/>
      <c r="V8" s="7" t="s">
        <v>107</v>
      </c>
      <c r="W8" s="15" t="n">
        <f aca="true">IF(G8="","",IF(OR(G8="Novo contato",G8="Em conversa"),IF(J8="",TODAY(),J8+1),IF(G8="Avaliação marcada",IF(L8="",TODAY(),L8-1),IF(G8="Proposta enviada",IF(J8="",TODAY(),J8+2),IF(G8="Fechou pacote",IF(J8="",TODAY(),J8+7),IF(G8="Em tratamento",IF(M8="",TODAY(),IF(TODAY()&lt;=M8+1,M8+1,EDATE(M8,6)-30)),IF(G8="Pós-venda",IF(J8="",TODAY(),J8+7),IF(G8="Perdido",IF(J8="",TODAY(),J8+60),""))))))))</f>
        <v>46293</v>
      </c>
    </row>
    <row r="9" customFormat="false" ht="15" hidden="false" customHeight="false" outlineLevel="0" collapsed="false">
      <c r="A9" s="12" t="s">
        <v>122</v>
      </c>
      <c r="B9" s="12" t="s">
        <v>123</v>
      </c>
      <c r="C9" s="12" t="s">
        <v>68</v>
      </c>
      <c r="D9" s="12"/>
      <c r="E9" s="12" t="s">
        <v>96</v>
      </c>
      <c r="F9" s="13" t="str">
        <f aca="false">IF(OR(E9="",E9="A completar",E9="Ainda não sabe"),"",IF(OR(E9="Limpeza de pele",E9="Peeling de diamante",E9="Microagulhamento"),"Rosto","Corpo"))</f>
        <v>Corpo</v>
      </c>
      <c r="G9" s="12" t="s">
        <v>46</v>
      </c>
      <c r="H9" s="12"/>
      <c r="I9" s="12" t="s">
        <v>97</v>
      </c>
      <c r="J9" s="14" t="n">
        <v>46281</v>
      </c>
      <c r="K9" s="12" t="n">
        <v>0</v>
      </c>
      <c r="L9" s="14"/>
      <c r="M9" s="14"/>
      <c r="N9" s="12"/>
      <c r="O9" s="12"/>
      <c r="P9" s="15" t="str">
        <f aca="false">IF(M9="","",EDATE(M9,6))</f>
        <v/>
      </c>
      <c r="Q9" s="15" t="n">
        <f aca="false">IF(W9="","",IF(WEEKDAY(W9)=1,W9+1,W9))</f>
        <v>46282</v>
      </c>
      <c r="R9" s="13" t="str">
        <f aca="true">IF(Q9="","",IF(AND(N(K9)&gt;=3,G9&lt;&gt;"Perdido"),"Mover para Perdido",IF(Q9&lt;TODAY(),"Atrasado",IF(Q9=TODAY(),"Hoje","No prazo"))))</f>
        <v>Atrasado</v>
      </c>
      <c r="S9" s="12" t="s">
        <v>106</v>
      </c>
      <c r="T9" s="12"/>
      <c r="U9" s="12"/>
      <c r="V9" s="7" t="s">
        <v>124</v>
      </c>
      <c r="W9" s="15" t="n">
        <f aca="true">IF(G9="","",IF(OR(G9="Novo contato",G9="Em conversa"),IF(J9="",TODAY(),J9+1),IF(G9="Avaliação marcada",IF(L9="",TODAY(),L9-1),IF(G9="Proposta enviada",IF(J9="",TODAY(),J9+2),IF(G9="Fechou pacote",IF(J9="",TODAY(),J9+7),IF(G9="Em tratamento",IF(M9="",TODAY(),IF(TODAY()&lt;=M9+1,M9+1,EDATE(M9,6)-30)),IF(G9="Pós-venda",IF(J9="",TODAY(),J9+7),IF(G9="Perdido",IF(J9="",TODAY(),J9+60),""))))))))</f>
        <v>46282</v>
      </c>
    </row>
    <row r="10" customFormat="false" ht="15" hidden="false" customHeight="false" outlineLevel="0" collapsed="false">
      <c r="A10" s="12" t="s">
        <v>125</v>
      </c>
      <c r="B10" s="12" t="s">
        <v>126</v>
      </c>
      <c r="C10" s="12" t="s">
        <v>62</v>
      </c>
      <c r="D10" s="12"/>
      <c r="E10" s="12" t="s">
        <v>115</v>
      </c>
      <c r="F10" s="13" t="str">
        <f aca="false">IF(OR(E10="",E10="A completar",E10="Ainda não sabe"),"",IF(OR(E10="Limpeza de pele",E10="Peeling de diamante",E10="Microagulhamento"),"Rosto","Corpo"))</f>
        <v>Rosto</v>
      </c>
      <c r="G10" s="12" t="s">
        <v>48</v>
      </c>
      <c r="H10" s="12"/>
      <c r="I10" s="12" t="s">
        <v>97</v>
      </c>
      <c r="J10" s="14" t="n">
        <v>46293</v>
      </c>
      <c r="K10" s="12" t="n">
        <v>0</v>
      </c>
      <c r="L10" s="14"/>
      <c r="M10" s="14"/>
      <c r="N10" s="12"/>
      <c r="O10" s="12"/>
      <c r="P10" s="15" t="str">
        <f aca="false">IF(M10="","",EDATE(M10,6))</f>
        <v/>
      </c>
      <c r="Q10" s="15" t="n">
        <f aca="false">IF(W10="","",IF(WEEKDAY(W10)=1,W10+1,W10))</f>
        <v>46309</v>
      </c>
      <c r="R10" s="13" t="str">
        <f aca="true">IF(Q10="","",IF(AND(N(K10)&gt;=3,G10&lt;&gt;"Perdido"),"Mover para Perdido",IF(Q10&lt;TODAY(),"Atrasado",IF(Q10=TODAY(),"Hoje","No prazo"))))</f>
        <v>Hoje</v>
      </c>
      <c r="S10" s="12"/>
      <c r="T10" s="12"/>
      <c r="U10" s="12"/>
      <c r="V10" s="7" t="s">
        <v>127</v>
      </c>
      <c r="W10" s="15" t="n">
        <f aca="true">IF(G10="","",IF(OR(G10="Novo contato",G10="Em conversa"),IF(J10="",TODAY(),J10+1),IF(G10="Avaliação marcada",IF(L10="",TODAY(),L10-1),IF(G10="Proposta enviada",IF(J10="",TODAY(),J10+2),IF(G10="Fechou pacote",IF(J10="",TODAY(),J10+7),IF(G10="Em tratamento",IF(M10="",TODAY(),IF(TODAY()&lt;=M10+1,M10+1,EDATE(M10,6)-30)),IF(G10="Pós-venda",IF(J10="",TODAY(),J10+7),IF(G10="Perdido",IF(J10="",TODAY(),J10+60),""))))))))</f>
        <v>46309</v>
      </c>
    </row>
    <row r="11" customFormat="false" ht="15" hidden="false" customHeight="false" outlineLevel="0" collapsed="false">
      <c r="A11" s="12" t="s">
        <v>128</v>
      </c>
      <c r="B11" s="12" t="s">
        <v>129</v>
      </c>
      <c r="C11" s="12" t="s">
        <v>68</v>
      </c>
      <c r="D11" s="12"/>
      <c r="E11" s="12" t="s">
        <v>101</v>
      </c>
      <c r="F11" s="13" t="str">
        <f aca="false">IF(OR(E11="",E11="A completar",E11="Ainda não sabe"),"",IF(OR(E11="Limpeza de pele",E11="Peeling de diamante",E11="Microagulhamento"),"Rosto","Corpo"))</f>
        <v>Corpo</v>
      </c>
      <c r="G11" s="12" t="s">
        <v>48</v>
      </c>
      <c r="H11" s="12"/>
      <c r="I11" s="12" t="s">
        <v>97</v>
      </c>
      <c r="J11" s="14" t="n">
        <v>46278</v>
      </c>
      <c r="K11" s="12" t="n">
        <v>0</v>
      </c>
      <c r="L11" s="14"/>
      <c r="M11" s="14"/>
      <c r="N11" s="12"/>
      <c r="O11" s="12"/>
      <c r="P11" s="15" t="str">
        <f aca="false">IF(M11="","",EDATE(M11,6))</f>
        <v/>
      </c>
      <c r="Q11" s="15" t="n">
        <f aca="false">IF(W11="","",IF(WEEKDAY(W11)=1,W11+1,W11))</f>
        <v>46309</v>
      </c>
      <c r="R11" s="13" t="str">
        <f aca="true">IF(Q11="","",IF(AND(N(K11)&gt;=3,G11&lt;&gt;"Perdido"),"Mover para Perdido",IF(Q11&lt;TODAY(),"Atrasado",IF(Q11=TODAY(),"Hoje","No prazo"))))</f>
        <v>Hoje</v>
      </c>
      <c r="S11" s="12" t="s">
        <v>130</v>
      </c>
      <c r="T11" s="12"/>
      <c r="U11" s="12"/>
      <c r="V11" s="7" t="s">
        <v>131</v>
      </c>
      <c r="W11" s="15" t="n">
        <f aca="true">IF(G11="","",IF(OR(G11="Novo contato",G11="Em conversa"),IF(J11="",TODAY(),J11+1),IF(G11="Avaliação marcada",IF(L11="",TODAY(),L11-1),IF(G11="Proposta enviada",IF(J11="",TODAY(),J11+2),IF(G11="Fechou pacote",IF(J11="",TODAY(),J11+7),IF(G11="Em tratamento",IF(M11="",TODAY(),IF(TODAY()&lt;=M11+1,M11+1,EDATE(M11,6)-30)),IF(G11="Pós-venda",IF(J11="",TODAY(),J11+7),IF(G11="Perdido",IF(J11="",TODAY(),J11+60),""))))))))</f>
        <v>46309</v>
      </c>
    </row>
    <row r="12" customFormat="false" ht="15" hidden="false" customHeight="false" outlineLevel="0" collapsed="false">
      <c r="A12" s="12" t="s">
        <v>132</v>
      </c>
      <c r="B12" s="12" t="s">
        <v>133</v>
      </c>
      <c r="C12" s="12" t="s">
        <v>59</v>
      </c>
      <c r="D12" s="12"/>
      <c r="E12" s="12" t="s">
        <v>134</v>
      </c>
      <c r="F12" s="13" t="str">
        <f aca="false">IF(OR(E12="",E12="A completar",E12="Ainda não sabe"),"",IF(OR(E12="Limpeza de pele",E12="Peeling de diamante",E12="Microagulhamento"),"Rosto","Corpo"))</f>
        <v>Corpo</v>
      </c>
      <c r="G12" s="12" t="s">
        <v>48</v>
      </c>
      <c r="H12" s="12"/>
      <c r="I12" s="12" t="s">
        <v>97</v>
      </c>
      <c r="J12" s="14" t="n">
        <v>46228</v>
      </c>
      <c r="K12" s="12" t="n">
        <v>0</v>
      </c>
      <c r="L12" s="14"/>
      <c r="M12" s="14"/>
      <c r="N12" s="12"/>
      <c r="O12" s="12"/>
      <c r="P12" s="15" t="str">
        <f aca="false">IF(M12="","",EDATE(M12,6))</f>
        <v/>
      </c>
      <c r="Q12" s="15" t="n">
        <f aca="false">IF(W12="","",IF(WEEKDAY(W12)=1,W12+1,W12))</f>
        <v>46309</v>
      </c>
      <c r="R12" s="13" t="str">
        <f aca="true">IF(Q12="","",IF(AND(N(K12)&gt;=3,G12&lt;&gt;"Perdido"),"Mover para Perdido",IF(Q12&lt;TODAY(),"Atrasado",IF(Q12=TODAY(),"Hoje","No prazo"))))</f>
        <v>Hoje</v>
      </c>
      <c r="S12" s="12" t="s">
        <v>130</v>
      </c>
      <c r="T12" s="12"/>
      <c r="U12" s="12"/>
      <c r="V12" s="7" t="s">
        <v>127</v>
      </c>
      <c r="W12" s="15" t="n">
        <f aca="true">IF(G12="","",IF(OR(G12="Novo contato",G12="Em conversa"),IF(J12="",TODAY(),J12+1),IF(G12="Avaliação marcada",IF(L12="",TODAY(),L12-1),IF(G12="Proposta enviada",IF(J12="",TODAY(),J12+2),IF(G12="Fechou pacote",IF(J12="",TODAY(),J12+7),IF(G12="Em tratamento",IF(M12="",TODAY(),IF(TODAY()&lt;=M12+1,M12+1,EDATE(M12,6)-30)),IF(G12="Pós-venda",IF(J12="",TODAY(),J12+7),IF(G12="Perdido",IF(J12="",TODAY(),J12+60),""))))))))</f>
        <v>46309</v>
      </c>
    </row>
    <row r="13" customFormat="false" ht="15" hidden="false" customHeight="false" outlineLevel="0" collapsed="false">
      <c r="A13" s="12" t="s">
        <v>135</v>
      </c>
      <c r="B13" s="12" t="s">
        <v>136</v>
      </c>
      <c r="C13" s="12" t="s">
        <v>62</v>
      </c>
      <c r="D13" s="12"/>
      <c r="E13" s="12" t="s">
        <v>115</v>
      </c>
      <c r="F13" s="13" t="str">
        <f aca="false">IF(OR(E13="",E13="A completar",E13="Ainda não sabe"),"",IF(OR(E13="Limpeza de pele",E13="Peeling de diamante",E13="Microagulhamento"),"Rosto","Corpo"))</f>
        <v>Rosto</v>
      </c>
      <c r="G13" s="12" t="s">
        <v>44</v>
      </c>
      <c r="H13" s="12"/>
      <c r="I13" s="12" t="s">
        <v>97</v>
      </c>
      <c r="J13" s="14" t="n">
        <v>46255</v>
      </c>
      <c r="K13" s="12" t="n">
        <v>0</v>
      </c>
      <c r="L13" s="14"/>
      <c r="M13" s="14"/>
      <c r="N13" s="12"/>
      <c r="O13" s="12"/>
      <c r="P13" s="15" t="str">
        <f aca="false">IF(M13="","",EDATE(M13,6))</f>
        <v/>
      </c>
      <c r="Q13" s="15" t="n">
        <f aca="false">IF(W13="","",IF(WEEKDAY(W13)=1,W13+1,W13))</f>
        <v>46256</v>
      </c>
      <c r="R13" s="13" t="str">
        <f aca="true">IF(Q13="","",IF(AND(N(K13)&gt;=3,G13&lt;&gt;"Perdido"),"Mover para Perdido",IF(Q13&lt;TODAY(),"Atrasado",IF(Q13=TODAY(),"Hoje","No prazo"))))</f>
        <v>Atrasado</v>
      </c>
      <c r="S13" s="12"/>
      <c r="T13" s="12"/>
      <c r="U13" s="12"/>
      <c r="V13" s="7" t="s">
        <v>137</v>
      </c>
      <c r="W13" s="15" t="n">
        <f aca="true">IF(G13="","",IF(OR(G13="Novo contato",G13="Em conversa"),IF(J13="",TODAY(),J13+1),IF(G13="Avaliação marcada",IF(L13="",TODAY(),L13-1),IF(G13="Proposta enviada",IF(J13="",TODAY(),J13+2),IF(G13="Fechou pacote",IF(J13="",TODAY(),J13+7),IF(G13="Em tratamento",IF(M13="",TODAY(),IF(TODAY()&lt;=M13+1,M13+1,EDATE(M13,6)-30)),IF(G13="Pós-venda",IF(J13="",TODAY(),J13+7),IF(G13="Perdido",IF(J13="",TODAY(),J13+60),""))))))))</f>
        <v>46256</v>
      </c>
    </row>
    <row r="14" customFormat="false" ht="15" hidden="false" customHeight="false" outlineLevel="0" collapsed="false">
      <c r="A14" s="12" t="s">
        <v>138</v>
      </c>
      <c r="B14" s="12" t="s">
        <v>139</v>
      </c>
      <c r="C14" s="12" t="s">
        <v>62</v>
      </c>
      <c r="D14" s="12"/>
      <c r="E14" s="12" t="s">
        <v>101</v>
      </c>
      <c r="F14" s="13" t="str">
        <f aca="false">IF(OR(E14="",E14="A completar",E14="Ainda não sabe"),"",IF(OR(E14="Limpeza de pele",E14="Peeling de diamante",E14="Microagulhamento"),"Rosto","Corpo"))</f>
        <v>Corpo</v>
      </c>
      <c r="G14" s="12" t="s">
        <v>46</v>
      </c>
      <c r="H14" s="12"/>
      <c r="I14" s="12" t="s">
        <v>97</v>
      </c>
      <c r="J14" s="14" t="n">
        <v>46300</v>
      </c>
      <c r="K14" s="12" t="n">
        <v>0</v>
      </c>
      <c r="L14" s="14"/>
      <c r="M14" s="14"/>
      <c r="N14" s="12"/>
      <c r="O14" s="12"/>
      <c r="P14" s="15" t="str">
        <f aca="false">IF(M14="","",EDATE(M14,6))</f>
        <v/>
      </c>
      <c r="Q14" s="15" t="n">
        <f aca="false">IF(W14="","",IF(WEEKDAY(W14)=1,W14+1,W14))</f>
        <v>46301</v>
      </c>
      <c r="R14" s="13" t="str">
        <f aca="true">IF(Q14="","",IF(AND(N(K14)&gt;=3,G14&lt;&gt;"Perdido"),"Mover para Perdido",IF(Q14&lt;TODAY(),"Atrasado",IF(Q14=TODAY(),"Hoje","No prazo"))))</f>
        <v>Atrasado</v>
      </c>
      <c r="S14" s="12" t="s">
        <v>140</v>
      </c>
      <c r="T14" s="12"/>
      <c r="U14" s="12"/>
      <c r="V14" s="7" t="s">
        <v>124</v>
      </c>
      <c r="W14" s="15" t="n">
        <f aca="true">IF(G14="","",IF(OR(G14="Novo contato",G14="Em conversa"),IF(J14="",TODAY(),J14+1),IF(G14="Avaliação marcada",IF(L14="",TODAY(),L14-1),IF(G14="Proposta enviada",IF(J14="",TODAY(),J14+2),IF(G14="Fechou pacote",IF(J14="",TODAY(),J14+7),IF(G14="Em tratamento",IF(M14="",TODAY(),IF(TODAY()&lt;=M14+1,M14+1,EDATE(M14,6)-30)),IF(G14="Pós-venda",IF(J14="",TODAY(),J14+7),IF(G14="Perdido",IF(J14="",TODAY(),J14+60),""))))))))</f>
        <v>46301</v>
      </c>
    </row>
    <row r="15" customFormat="false" ht="15" hidden="false" customHeight="false" outlineLevel="0" collapsed="false">
      <c r="A15" s="12" t="s">
        <v>141</v>
      </c>
      <c r="B15" s="12" t="s">
        <v>142</v>
      </c>
      <c r="C15" s="12" t="s">
        <v>62</v>
      </c>
      <c r="D15" s="12" t="s">
        <v>143</v>
      </c>
      <c r="E15" s="12" t="s">
        <v>96</v>
      </c>
      <c r="F15" s="13" t="str">
        <f aca="false">IF(OR(E15="",E15="A completar",E15="Ainda não sabe"),"",IF(OR(E15="Limpeza de pele",E15="Peeling de diamante",E15="Microagulhamento"),"Rosto","Corpo"))</f>
        <v>Corpo</v>
      </c>
      <c r="G15" s="12" t="s">
        <v>50</v>
      </c>
      <c r="H15" s="12"/>
      <c r="I15" s="12" t="s">
        <v>97</v>
      </c>
      <c r="J15" s="14" t="n">
        <v>46227</v>
      </c>
      <c r="K15" s="12" t="n">
        <v>0</v>
      </c>
      <c r="L15" s="14"/>
      <c r="M15" s="14"/>
      <c r="N15" s="12"/>
      <c r="O15" s="12"/>
      <c r="P15" s="15" t="str">
        <f aca="false">IF(M15="","",EDATE(M15,6))</f>
        <v/>
      </c>
      <c r="Q15" s="15" t="n">
        <f aca="false">IF(W15="","",IF(WEEKDAY(W15)=1,W15+1,W15))</f>
        <v>46230</v>
      </c>
      <c r="R15" s="13" t="str">
        <f aca="true">IF(Q15="","",IF(AND(N(K15)&gt;=3,G15&lt;&gt;"Perdido"),"Mover para Perdido",IF(Q15&lt;TODAY(),"Atrasado",IF(Q15=TODAY(),"Hoje","No prazo"))))</f>
        <v>Atrasado</v>
      </c>
      <c r="S15" s="12"/>
      <c r="T15" s="12"/>
      <c r="U15" s="12" t="s">
        <v>144</v>
      </c>
      <c r="V15" s="7" t="s">
        <v>107</v>
      </c>
      <c r="W15" s="15" t="n">
        <f aca="true">IF(G15="","",IF(OR(G15="Novo contato",G15="Em conversa"),IF(J15="",TODAY(),J15+1),IF(G15="Avaliação marcada",IF(L15="",TODAY(),L15-1),IF(G15="Proposta enviada",IF(J15="",TODAY(),J15+2),IF(G15="Fechou pacote",IF(J15="",TODAY(),J15+7),IF(G15="Em tratamento",IF(M15="",TODAY(),IF(TODAY()&lt;=M15+1,M15+1,EDATE(M15,6)-30)),IF(G15="Pós-venda",IF(J15="",TODAY(),J15+7),IF(G15="Perdido",IF(J15="",TODAY(),J15+60),""))))))))</f>
        <v>46229</v>
      </c>
    </row>
    <row r="16" customFormat="false" ht="15" hidden="false" customHeight="false" outlineLevel="0" collapsed="false">
      <c r="A16" s="12" t="s">
        <v>145</v>
      </c>
      <c r="B16" s="12" t="s">
        <v>146</v>
      </c>
      <c r="C16" s="12" t="s">
        <v>57</v>
      </c>
      <c r="D16" s="12"/>
      <c r="E16" s="12" t="s">
        <v>110</v>
      </c>
      <c r="F16" s="13" t="str">
        <f aca="false">IF(OR(E16="",E16="A completar",E16="Ainda não sabe"),"",IF(OR(E16="Limpeza de pele",E16="Peeling de diamante",E16="Microagulhamento"),"Rosto","Corpo"))</f>
        <v>Corpo</v>
      </c>
      <c r="G16" s="12" t="s">
        <v>48</v>
      </c>
      <c r="H16" s="12"/>
      <c r="I16" s="12" t="s">
        <v>97</v>
      </c>
      <c r="J16" s="14" t="n">
        <v>46244</v>
      </c>
      <c r="K16" s="12" t="n">
        <v>0</v>
      </c>
      <c r="L16" s="14"/>
      <c r="M16" s="14"/>
      <c r="N16" s="12"/>
      <c r="O16" s="12"/>
      <c r="P16" s="15" t="str">
        <f aca="false">IF(M16="","",EDATE(M16,6))</f>
        <v/>
      </c>
      <c r="Q16" s="15" t="n">
        <f aca="false">IF(W16="","",IF(WEEKDAY(W16)=1,W16+1,W16))</f>
        <v>46309</v>
      </c>
      <c r="R16" s="13" t="str">
        <f aca="true">IF(Q16="","",IF(AND(N(K16)&gt;=3,G16&lt;&gt;"Perdido"),"Mover para Perdido",IF(Q16&lt;TODAY(),"Atrasado",IF(Q16=TODAY(),"Hoje","No prazo"))))</f>
        <v>Hoje</v>
      </c>
      <c r="S16" s="12"/>
      <c r="T16" s="12"/>
      <c r="U16" s="12"/>
      <c r="V16" s="7" t="s">
        <v>127</v>
      </c>
      <c r="W16" s="15" t="n">
        <f aca="true">IF(G16="","",IF(OR(G16="Novo contato",G16="Em conversa"),IF(J16="",TODAY(),J16+1),IF(G16="Avaliação marcada",IF(L16="",TODAY(),L16-1),IF(G16="Proposta enviada",IF(J16="",TODAY(),J16+2),IF(G16="Fechou pacote",IF(J16="",TODAY(),J16+7),IF(G16="Em tratamento",IF(M16="",TODAY(),IF(TODAY()&lt;=M16+1,M16+1,EDATE(M16,6)-30)),IF(G16="Pós-venda",IF(J16="",TODAY(),J16+7),IF(G16="Perdido",IF(J16="",TODAY(),J16+60),""))))))))</f>
        <v>46309</v>
      </c>
    </row>
    <row r="17" customFormat="false" ht="15" hidden="false" customHeight="false" outlineLevel="0" collapsed="false">
      <c r="A17" s="12" t="s">
        <v>147</v>
      </c>
      <c r="B17" s="12" t="s">
        <v>148</v>
      </c>
      <c r="C17" s="12" t="s">
        <v>57</v>
      </c>
      <c r="D17" s="12"/>
      <c r="E17" s="12" t="s">
        <v>68</v>
      </c>
      <c r="F17" s="13" t="str">
        <f aca="false">IF(OR(E17="",E17="A completar",E17="Ainda não sabe"),"",IF(OR(E17="Limpeza de pele",E17="Peeling de diamante",E17="Microagulhamento"),"Rosto","Corpo"))</f>
        <v/>
      </c>
      <c r="G17" s="12" t="s">
        <v>52</v>
      </c>
      <c r="H17" s="12"/>
      <c r="I17" s="12" t="s">
        <v>97</v>
      </c>
      <c r="J17" s="14" t="n">
        <v>46277</v>
      </c>
      <c r="K17" s="12" t="n">
        <v>0</v>
      </c>
      <c r="L17" s="14"/>
      <c r="M17" s="14"/>
      <c r="N17" s="12"/>
      <c r="O17" s="12"/>
      <c r="P17" s="15" t="str">
        <f aca="false">IF(M17="","",EDATE(M17,6))</f>
        <v/>
      </c>
      <c r="Q17" s="15" t="n">
        <f aca="false">IF(W17="","",IF(WEEKDAY(W17)=1,W17+1,W17))</f>
        <v>46284</v>
      </c>
      <c r="R17" s="13" t="str">
        <f aca="true">IF(Q17="","",IF(AND(N(K17)&gt;=3,G17&lt;&gt;"Perdido"),"Mover para Perdido",IF(Q17&lt;TODAY(),"Atrasado",IF(Q17=TODAY(),"Hoje","No prazo"))))</f>
        <v>Atrasado</v>
      </c>
      <c r="S17" s="12"/>
      <c r="T17" s="12"/>
      <c r="U17" s="12"/>
      <c r="V17" s="7" t="s">
        <v>149</v>
      </c>
      <c r="W17" s="15" t="n">
        <f aca="true">IF(G17="","",IF(OR(G17="Novo contato",G17="Em conversa"),IF(J17="",TODAY(),J17+1),IF(G17="Avaliação marcada",IF(L17="",TODAY(),L17-1),IF(G17="Proposta enviada",IF(J17="",TODAY(),J17+2),IF(G17="Fechou pacote",IF(J17="",TODAY(),J17+7),IF(G17="Em tratamento",IF(M17="",TODAY(),IF(TODAY()&lt;=M17+1,M17+1,EDATE(M17,6)-30)),IF(G17="Pós-venda",IF(J17="",TODAY(),J17+7),IF(G17="Perdido",IF(J17="",TODAY(),J17+60),""))))))))</f>
        <v>46284</v>
      </c>
    </row>
    <row r="18" customFormat="false" ht="15" hidden="false" customHeight="false" outlineLevel="0" collapsed="false">
      <c r="A18" s="12" t="s">
        <v>150</v>
      </c>
      <c r="B18" s="12" t="s">
        <v>151</v>
      </c>
      <c r="C18" s="12" t="s">
        <v>57</v>
      </c>
      <c r="D18" s="12"/>
      <c r="E18" s="12" t="s">
        <v>152</v>
      </c>
      <c r="F18" s="13" t="str">
        <f aca="false">IF(OR(E18="",E18="A completar",E18="Ainda não sabe"),"",IF(OR(E18="Limpeza de pele",E18="Peeling de diamante",E18="Microagulhamento"),"Rosto","Corpo"))</f>
        <v>Rosto</v>
      </c>
      <c r="G18" s="12" t="s">
        <v>50</v>
      </c>
      <c r="H18" s="12" t="s">
        <v>153</v>
      </c>
      <c r="I18" s="12" t="s">
        <v>97</v>
      </c>
      <c r="J18" s="14"/>
      <c r="K18" s="12" t="n">
        <v>0</v>
      </c>
      <c r="L18" s="14"/>
      <c r="M18" s="14"/>
      <c r="N18" s="12"/>
      <c r="O18" s="12"/>
      <c r="P18" s="15" t="str">
        <f aca="false">IF(M18="","",EDATE(M18,6))</f>
        <v/>
      </c>
      <c r="Q18" s="15" t="n">
        <f aca="false">IF(W18="","",IF(WEEKDAY(W18)=1,W18+1,W18))</f>
        <v>46309</v>
      </c>
      <c r="R18" s="13" t="str">
        <f aca="true">IF(Q18="","",IF(AND(N(K18)&gt;=3,G18&lt;&gt;"Perdido"),"Mover para Perdido",IF(Q18&lt;TODAY(),"Atrasado",IF(Q18=TODAY(),"Hoje","No prazo"))))</f>
        <v>Hoje</v>
      </c>
      <c r="S18" s="12" t="s">
        <v>154</v>
      </c>
      <c r="T18" s="12"/>
      <c r="U18" s="12"/>
      <c r="V18" s="7" t="s">
        <v>107</v>
      </c>
      <c r="W18" s="15" t="n">
        <f aca="true">IF(G18="","",IF(OR(G18="Novo contato",G18="Em conversa"),IF(J18="",TODAY(),J18+1),IF(G18="Avaliação marcada",IF(L18="",TODAY(),L18-1),IF(G18="Proposta enviada",IF(J18="",TODAY(),J18+2),IF(G18="Fechou pacote",IF(J18="",TODAY(),J18+7),IF(G18="Em tratamento",IF(M18="",TODAY(),IF(TODAY()&lt;=M18+1,M18+1,EDATE(M18,6)-30)),IF(G18="Pós-venda",IF(J18="",TODAY(),J18+7),IF(G18="Perdido",IF(J18="",TODAY(),J18+60),""))))))))</f>
        <v>46309</v>
      </c>
    </row>
    <row r="19" customFormat="false" ht="15" hidden="false" customHeight="false" outlineLevel="0" collapsed="false">
      <c r="A19" s="12" t="s">
        <v>155</v>
      </c>
      <c r="B19" s="12" t="s">
        <v>156</v>
      </c>
      <c r="C19" s="12" t="s">
        <v>59</v>
      </c>
      <c r="D19" s="12"/>
      <c r="E19" s="12" t="s">
        <v>115</v>
      </c>
      <c r="F19" s="13" t="str">
        <f aca="false">IF(OR(E19="",E19="A completar",E19="Ainda não sabe"),"",IF(OR(E19="Limpeza de pele",E19="Peeling de diamante",E19="Microagulhamento"),"Rosto","Corpo"))</f>
        <v>Rosto</v>
      </c>
      <c r="G19" s="12" t="s">
        <v>46</v>
      </c>
      <c r="H19" s="12"/>
      <c r="I19" s="12" t="s">
        <v>97</v>
      </c>
      <c r="J19" s="14" t="n">
        <v>46295</v>
      </c>
      <c r="K19" s="12" t="n">
        <v>0</v>
      </c>
      <c r="L19" s="14"/>
      <c r="M19" s="14"/>
      <c r="N19" s="12"/>
      <c r="O19" s="12"/>
      <c r="P19" s="15" t="str">
        <f aca="false">IF(M19="","",EDATE(M19,6))</f>
        <v/>
      </c>
      <c r="Q19" s="15" t="n">
        <f aca="false">IF(W19="","",IF(WEEKDAY(W19)=1,W19+1,W19))</f>
        <v>46296</v>
      </c>
      <c r="R19" s="13" t="str">
        <f aca="true">IF(Q19="","",IF(AND(N(K19)&gt;=3,G19&lt;&gt;"Perdido"),"Mover para Perdido",IF(Q19&lt;TODAY(),"Atrasado",IF(Q19=TODAY(),"Hoje","No prazo"))))</f>
        <v>Atrasado</v>
      </c>
      <c r="S19" s="12"/>
      <c r="T19" s="12"/>
      <c r="U19" s="12"/>
      <c r="V19" s="7" t="s">
        <v>157</v>
      </c>
      <c r="W19" s="15" t="n">
        <f aca="true">IF(G19="","",IF(OR(G19="Novo contato",G19="Em conversa"),IF(J19="",TODAY(),J19+1),IF(G19="Avaliação marcada",IF(L19="",TODAY(),L19-1),IF(G19="Proposta enviada",IF(J19="",TODAY(),J19+2),IF(G19="Fechou pacote",IF(J19="",TODAY(),J19+7),IF(G19="Em tratamento",IF(M19="",TODAY(),IF(TODAY()&lt;=M19+1,M19+1,EDATE(M19,6)-30)),IF(G19="Pós-venda",IF(J19="",TODAY(),J19+7),IF(G19="Perdido",IF(J19="",TODAY(),J19+60),""))))))))</f>
        <v>46296</v>
      </c>
    </row>
    <row r="20" customFormat="false" ht="15" hidden="false" customHeight="false" outlineLevel="0" collapsed="false">
      <c r="A20" s="12" t="s">
        <v>158</v>
      </c>
      <c r="B20" s="12" t="s">
        <v>159</v>
      </c>
      <c r="C20" s="12" t="s">
        <v>62</v>
      </c>
      <c r="D20" s="12" t="s">
        <v>143</v>
      </c>
      <c r="E20" s="12" t="s">
        <v>110</v>
      </c>
      <c r="F20" s="13" t="str">
        <f aca="false">IF(OR(E20="",E20="A completar",E20="Ainda não sabe"),"",IF(OR(E20="Limpeza de pele",E20="Peeling de diamante",E20="Microagulhamento"),"Rosto","Corpo"))</f>
        <v>Corpo</v>
      </c>
      <c r="G20" s="12" t="s">
        <v>50</v>
      </c>
      <c r="H20" s="12" t="s">
        <v>116</v>
      </c>
      <c r="I20" s="12" t="s">
        <v>97</v>
      </c>
      <c r="J20" s="14" t="n">
        <v>46263</v>
      </c>
      <c r="K20" s="12" t="n">
        <v>0</v>
      </c>
      <c r="L20" s="14"/>
      <c r="M20" s="14"/>
      <c r="N20" s="12"/>
      <c r="O20" s="12"/>
      <c r="P20" s="15" t="str">
        <f aca="false">IF(M20="","",EDATE(M20,6))</f>
        <v/>
      </c>
      <c r="Q20" s="15" t="n">
        <f aca="false">IF(W20="","",IF(WEEKDAY(W20)=1,W20+1,W20))</f>
        <v>46265</v>
      </c>
      <c r="R20" s="13" t="str">
        <f aca="true">IF(Q20="","",IF(AND(N(K20)&gt;=3,G20&lt;&gt;"Perdido"),"Mover para Perdido",IF(Q20&lt;TODAY(),"Atrasado",IF(Q20=TODAY(),"Hoje","No prazo"))))</f>
        <v>Atrasado</v>
      </c>
      <c r="S20" s="12"/>
      <c r="T20" s="12"/>
      <c r="U20" s="12" t="s">
        <v>160</v>
      </c>
      <c r="V20" s="7" t="s">
        <v>116</v>
      </c>
      <c r="W20" s="15" t="n">
        <f aca="true">IF(G20="","",IF(OR(G20="Novo contato",G20="Em conversa"),IF(J20="",TODAY(),J20+1),IF(G20="Avaliação marcada",IF(L20="",TODAY(),L20-1),IF(G20="Proposta enviada",IF(J20="",TODAY(),J20+2),IF(G20="Fechou pacote",IF(J20="",TODAY(),J20+7),IF(G20="Em tratamento",IF(M20="",TODAY(),IF(TODAY()&lt;=M20+1,M20+1,EDATE(M20,6)-30)),IF(G20="Pós-venda",IF(J20="",TODAY(),J20+7),IF(G20="Perdido",IF(J20="",TODAY(),J20+60),""))))))))</f>
        <v>46265</v>
      </c>
    </row>
    <row r="21" customFormat="false" ht="15" hidden="false" customHeight="false" outlineLevel="0" collapsed="false">
      <c r="A21" s="12" t="s">
        <v>161</v>
      </c>
      <c r="B21" s="12" t="s">
        <v>162</v>
      </c>
      <c r="C21" s="12" t="s">
        <v>57</v>
      </c>
      <c r="D21" s="12"/>
      <c r="E21" s="12" t="s">
        <v>96</v>
      </c>
      <c r="F21" s="13" t="str">
        <f aca="false">IF(OR(E21="",E21="A completar",E21="Ainda não sabe"),"",IF(OR(E21="Limpeza de pele",E21="Peeling de diamante",E21="Microagulhamento"),"Rosto","Corpo"))</f>
        <v>Corpo</v>
      </c>
      <c r="G21" s="12" t="s">
        <v>50</v>
      </c>
      <c r="H21" s="12"/>
      <c r="I21" s="12" t="s">
        <v>97</v>
      </c>
      <c r="J21" s="14" t="n">
        <v>46260</v>
      </c>
      <c r="K21" s="12" t="n">
        <v>0</v>
      </c>
      <c r="L21" s="14"/>
      <c r="M21" s="14"/>
      <c r="N21" s="12"/>
      <c r="O21" s="12"/>
      <c r="P21" s="15" t="str">
        <f aca="false">IF(M21="","",EDATE(M21,6))</f>
        <v/>
      </c>
      <c r="Q21" s="15" t="n">
        <f aca="false">IF(W21="","",IF(WEEKDAY(W21)=1,W21+1,W21))</f>
        <v>46262</v>
      </c>
      <c r="R21" s="13" t="str">
        <f aca="true">IF(Q21="","",IF(AND(N(K21)&gt;=3,G21&lt;&gt;"Perdido"),"Mover para Perdido",IF(Q21&lt;TODAY(),"Atrasado",IF(Q21=TODAY(),"Hoje","No prazo"))))</f>
        <v>Atrasado</v>
      </c>
      <c r="S21" s="12" t="s">
        <v>130</v>
      </c>
      <c r="T21" s="12"/>
      <c r="U21" s="12"/>
      <c r="V21" s="7" t="s">
        <v>107</v>
      </c>
      <c r="W21" s="15" t="n">
        <f aca="true">IF(G21="","",IF(OR(G21="Novo contato",G21="Em conversa"),IF(J21="",TODAY(),J21+1),IF(G21="Avaliação marcada",IF(L21="",TODAY(),L21-1),IF(G21="Proposta enviada",IF(J21="",TODAY(),J21+2),IF(G21="Fechou pacote",IF(J21="",TODAY(),J21+7),IF(G21="Em tratamento",IF(M21="",TODAY(),IF(TODAY()&lt;=M21+1,M21+1,EDATE(M21,6)-30)),IF(G21="Pós-venda",IF(J21="",TODAY(),J21+7),IF(G21="Perdido",IF(J21="",TODAY(),J21+60),""))))))))</f>
        <v>46262</v>
      </c>
    </row>
    <row r="22" customFormat="false" ht="15" hidden="false" customHeight="false" outlineLevel="0" collapsed="false">
      <c r="A22" s="12" t="s">
        <v>163</v>
      </c>
      <c r="B22" s="12" t="s">
        <v>164</v>
      </c>
      <c r="C22" s="12" t="s">
        <v>62</v>
      </c>
      <c r="D22" s="12"/>
      <c r="E22" s="12" t="s">
        <v>115</v>
      </c>
      <c r="F22" s="13" t="str">
        <f aca="false">IF(OR(E22="",E22="A completar",E22="Ainda não sabe"),"",IF(OR(E22="Limpeza de pele",E22="Peeling de diamante",E22="Microagulhamento"),"Rosto","Corpo"))</f>
        <v>Rosto</v>
      </c>
      <c r="G22" s="12" t="s">
        <v>48</v>
      </c>
      <c r="H22" s="12"/>
      <c r="I22" s="12" t="s">
        <v>97</v>
      </c>
      <c r="J22" s="14" t="n">
        <v>46250</v>
      </c>
      <c r="K22" s="12" t="n">
        <v>0</v>
      </c>
      <c r="L22" s="14"/>
      <c r="M22" s="14"/>
      <c r="N22" s="12"/>
      <c r="O22" s="12"/>
      <c r="P22" s="15" t="str">
        <f aca="false">IF(M22="","",EDATE(M22,6))</f>
        <v/>
      </c>
      <c r="Q22" s="15" t="n">
        <f aca="false">IF(W22="","",IF(WEEKDAY(W22)=1,W22+1,W22))</f>
        <v>46309</v>
      </c>
      <c r="R22" s="13" t="str">
        <f aca="true">IF(Q22="","",IF(AND(N(K22)&gt;=3,G22&lt;&gt;"Perdido"),"Mover para Perdido",IF(Q22&lt;TODAY(),"Atrasado",IF(Q22=TODAY(),"Hoje","No prazo"))))</f>
        <v>Hoje</v>
      </c>
      <c r="S22" s="12" t="s">
        <v>140</v>
      </c>
      <c r="T22" s="12"/>
      <c r="U22" s="12"/>
      <c r="V22" s="7" t="s">
        <v>98</v>
      </c>
      <c r="W22" s="15" t="n">
        <f aca="true">IF(G22="","",IF(OR(G22="Novo contato",G22="Em conversa"),IF(J22="",TODAY(),J22+1),IF(G22="Avaliação marcada",IF(L22="",TODAY(),L22-1),IF(G22="Proposta enviada",IF(J22="",TODAY(),J22+2),IF(G22="Fechou pacote",IF(J22="",TODAY(),J22+7),IF(G22="Em tratamento",IF(M22="",TODAY(),IF(TODAY()&lt;=M22+1,M22+1,EDATE(M22,6)-30)),IF(G22="Pós-venda",IF(J22="",TODAY(),J22+7),IF(G22="Perdido",IF(J22="",TODAY(),J22+60),""))))))))</f>
        <v>46309</v>
      </c>
    </row>
    <row r="23" customFormat="false" ht="15" hidden="false" customHeight="false" outlineLevel="0" collapsed="false">
      <c r="A23" s="12" t="s">
        <v>165</v>
      </c>
      <c r="B23" s="12" t="s">
        <v>166</v>
      </c>
      <c r="C23" s="12" t="s">
        <v>68</v>
      </c>
      <c r="D23" s="12"/>
      <c r="E23" s="12" t="s">
        <v>101</v>
      </c>
      <c r="F23" s="13" t="str">
        <f aca="false">IF(OR(E23="",E23="A completar",E23="Ainda não sabe"),"",IF(OR(E23="Limpeza de pele",E23="Peeling de diamante",E23="Microagulhamento"),"Rosto","Corpo"))</f>
        <v>Corpo</v>
      </c>
      <c r="G23" s="12" t="s">
        <v>52</v>
      </c>
      <c r="H23" s="12"/>
      <c r="I23" s="12" t="s">
        <v>97</v>
      </c>
      <c r="J23" s="14" t="n">
        <v>46259</v>
      </c>
      <c r="K23" s="12" t="n">
        <v>0</v>
      </c>
      <c r="L23" s="14"/>
      <c r="M23" s="14"/>
      <c r="N23" s="12"/>
      <c r="O23" s="12"/>
      <c r="P23" s="15" t="str">
        <f aca="false">IF(M23="","",EDATE(M23,6))</f>
        <v/>
      </c>
      <c r="Q23" s="15" t="n">
        <f aca="false">IF(W23="","",IF(WEEKDAY(W23)=1,W23+1,W23))</f>
        <v>46266</v>
      </c>
      <c r="R23" s="13" t="str">
        <f aca="true">IF(Q23="","",IF(AND(N(K23)&gt;=3,G23&lt;&gt;"Perdido"),"Mover para Perdido",IF(Q23&lt;TODAY(),"Atrasado",IF(Q23=TODAY(),"Hoje","No prazo"))))</f>
        <v>Atrasado</v>
      </c>
      <c r="S23" s="12" t="s">
        <v>130</v>
      </c>
      <c r="T23" s="12"/>
      <c r="U23" s="12"/>
      <c r="V23" s="7" t="s">
        <v>149</v>
      </c>
      <c r="W23" s="15" t="n">
        <f aca="true">IF(G23="","",IF(OR(G23="Novo contato",G23="Em conversa"),IF(J23="",TODAY(),J23+1),IF(G23="Avaliação marcada",IF(L23="",TODAY(),L23-1),IF(G23="Proposta enviada",IF(J23="",TODAY(),J23+2),IF(G23="Fechou pacote",IF(J23="",TODAY(),J23+7),IF(G23="Em tratamento",IF(M23="",TODAY(),IF(TODAY()&lt;=M23+1,M23+1,EDATE(M23,6)-30)),IF(G23="Pós-venda",IF(J23="",TODAY(),J23+7),IF(G23="Perdido",IF(J23="",TODAY(),J23+60),""))))))))</f>
        <v>46266</v>
      </c>
    </row>
    <row r="24" customFormat="false" ht="15" hidden="false" customHeight="false" outlineLevel="0" collapsed="false">
      <c r="A24" s="12" t="s">
        <v>167</v>
      </c>
      <c r="B24" s="12" t="s">
        <v>168</v>
      </c>
      <c r="C24" s="12" t="s">
        <v>57</v>
      </c>
      <c r="D24" s="12"/>
      <c r="E24" s="12" t="s">
        <v>134</v>
      </c>
      <c r="F24" s="13" t="str">
        <f aca="false">IF(OR(E24="",E24="A completar",E24="Ainda não sabe"),"",IF(OR(E24="Limpeza de pele",E24="Peeling de diamante",E24="Microagulhamento"),"Rosto","Corpo"))</f>
        <v>Corpo</v>
      </c>
      <c r="G24" s="12" t="s">
        <v>48</v>
      </c>
      <c r="H24" s="12"/>
      <c r="I24" s="12" t="s">
        <v>97</v>
      </c>
      <c r="J24" s="14"/>
      <c r="K24" s="12" t="n">
        <v>0</v>
      </c>
      <c r="L24" s="14"/>
      <c r="M24" s="14"/>
      <c r="N24" s="12"/>
      <c r="O24" s="12"/>
      <c r="P24" s="15" t="str">
        <f aca="false">IF(M24="","",EDATE(M24,6))</f>
        <v/>
      </c>
      <c r="Q24" s="15" t="n">
        <f aca="false">IF(W24="","",IF(WEEKDAY(W24)=1,W24+1,W24))</f>
        <v>46309</v>
      </c>
      <c r="R24" s="13" t="str">
        <f aca="true">IF(Q24="","",IF(AND(N(K24)&gt;=3,G24&lt;&gt;"Perdido"),"Mover para Perdido",IF(Q24&lt;TODAY(),"Atrasado",IF(Q24=TODAY(),"Hoje","No prazo"))))</f>
        <v>Hoje</v>
      </c>
      <c r="S24" s="12" t="s">
        <v>106</v>
      </c>
      <c r="T24" s="12"/>
      <c r="U24" s="12"/>
      <c r="V24" s="7" t="s">
        <v>98</v>
      </c>
      <c r="W24" s="15" t="n">
        <f aca="true">IF(G24="","",IF(OR(G24="Novo contato",G24="Em conversa"),IF(J24="",TODAY(),J24+1),IF(G24="Avaliação marcada",IF(L24="",TODAY(),L24-1),IF(G24="Proposta enviada",IF(J24="",TODAY(),J24+2),IF(G24="Fechou pacote",IF(J24="",TODAY(),J24+7),IF(G24="Em tratamento",IF(M24="",TODAY(),IF(TODAY()&lt;=M24+1,M24+1,EDATE(M24,6)-30)),IF(G24="Pós-venda",IF(J24="",TODAY(),J24+7),IF(G24="Perdido",IF(J24="",TODAY(),J24+60),""))))))))</f>
        <v>46309</v>
      </c>
    </row>
    <row r="25" customFormat="false" ht="15" hidden="false" customHeight="false" outlineLevel="0" collapsed="false">
      <c r="A25" s="12" t="s">
        <v>169</v>
      </c>
      <c r="B25" s="12" t="s">
        <v>170</v>
      </c>
      <c r="C25" s="12" t="s">
        <v>60</v>
      </c>
      <c r="D25" s="12"/>
      <c r="E25" s="12" t="s">
        <v>101</v>
      </c>
      <c r="F25" s="13" t="str">
        <f aca="false">IF(OR(E25="",E25="A completar",E25="Ainda não sabe"),"",IF(OR(E25="Limpeza de pele",E25="Peeling de diamante",E25="Microagulhamento"),"Rosto","Corpo"))</f>
        <v>Corpo</v>
      </c>
      <c r="G25" s="12" t="s">
        <v>50</v>
      </c>
      <c r="H25" s="12"/>
      <c r="I25" s="12" t="s">
        <v>97</v>
      </c>
      <c r="J25" s="14" t="n">
        <v>46284</v>
      </c>
      <c r="K25" s="12" t="n">
        <v>0</v>
      </c>
      <c r="L25" s="14"/>
      <c r="M25" s="14"/>
      <c r="N25" s="12"/>
      <c r="O25" s="12"/>
      <c r="P25" s="15" t="str">
        <f aca="false">IF(M25="","",EDATE(M25,6))</f>
        <v/>
      </c>
      <c r="Q25" s="15" t="n">
        <f aca="false">IF(W25="","",IF(WEEKDAY(W25)=1,W25+1,W25))</f>
        <v>46286</v>
      </c>
      <c r="R25" s="13" t="str">
        <f aca="true">IF(Q25="","",IF(AND(N(K25)&gt;=3,G25&lt;&gt;"Perdido"),"Mover para Perdido",IF(Q25&lt;TODAY(),"Atrasado",IF(Q25=TODAY(),"Hoje","No prazo"))))</f>
        <v>Atrasado</v>
      </c>
      <c r="S25" s="12" t="s">
        <v>111</v>
      </c>
      <c r="T25" s="12"/>
      <c r="U25" s="12"/>
      <c r="V25" s="7" t="s">
        <v>107</v>
      </c>
      <c r="W25" s="15" t="n">
        <f aca="true">IF(G25="","",IF(OR(G25="Novo contato",G25="Em conversa"),IF(J25="",TODAY(),J25+1),IF(G25="Avaliação marcada",IF(L25="",TODAY(),L25-1),IF(G25="Proposta enviada",IF(J25="",TODAY(),J25+2),IF(G25="Fechou pacote",IF(J25="",TODAY(),J25+7),IF(G25="Em tratamento",IF(M25="",TODAY(),IF(TODAY()&lt;=M25+1,M25+1,EDATE(M25,6)-30)),IF(G25="Pós-venda",IF(J25="",TODAY(),J25+7),IF(G25="Perdido",IF(J25="",TODAY(),J25+60),""))))))))</f>
        <v>46286</v>
      </c>
    </row>
    <row r="26" customFormat="false" ht="15" hidden="false" customHeight="false" outlineLevel="0" collapsed="false">
      <c r="A26" s="12" t="s">
        <v>171</v>
      </c>
      <c r="B26" s="12" t="s">
        <v>172</v>
      </c>
      <c r="C26" s="12" t="s">
        <v>57</v>
      </c>
      <c r="D26" s="12"/>
      <c r="E26" s="12" t="s">
        <v>105</v>
      </c>
      <c r="F26" s="13" t="str">
        <f aca="false">IF(OR(E26="",E26="A completar",E26="Ainda não sabe"),"",IF(OR(E26="Limpeza de pele",E26="Peeling de diamante",E26="Microagulhamento"),"Rosto","Corpo"))</f>
        <v>Rosto</v>
      </c>
      <c r="G26" s="12" t="s">
        <v>52</v>
      </c>
      <c r="H26" s="12"/>
      <c r="I26" s="12" t="s">
        <v>97</v>
      </c>
      <c r="J26" s="14" t="n">
        <v>46278</v>
      </c>
      <c r="K26" s="12" t="n">
        <v>0</v>
      </c>
      <c r="L26" s="14"/>
      <c r="M26" s="14"/>
      <c r="N26" s="12"/>
      <c r="O26" s="12"/>
      <c r="P26" s="15" t="str">
        <f aca="false">IF(M26="","",EDATE(M26,6))</f>
        <v/>
      </c>
      <c r="Q26" s="15" t="n">
        <f aca="false">IF(W26="","",IF(WEEKDAY(W26)=1,W26+1,W26))</f>
        <v>46286</v>
      </c>
      <c r="R26" s="13" t="str">
        <f aca="true">IF(Q26="","",IF(AND(N(K26)&gt;=3,G26&lt;&gt;"Perdido"),"Mover para Perdido",IF(Q26&lt;TODAY(),"Atrasado",IF(Q26=TODAY(),"Hoje","No prazo"))))</f>
        <v>Atrasado</v>
      </c>
      <c r="S26" s="12"/>
      <c r="T26" s="12"/>
      <c r="U26" s="12"/>
      <c r="V26" s="7" t="s">
        <v>149</v>
      </c>
      <c r="W26" s="15" t="n">
        <f aca="true">IF(G26="","",IF(OR(G26="Novo contato",G26="Em conversa"),IF(J26="",TODAY(),J26+1),IF(G26="Avaliação marcada",IF(L26="",TODAY(),L26-1),IF(G26="Proposta enviada",IF(J26="",TODAY(),J26+2),IF(G26="Fechou pacote",IF(J26="",TODAY(),J26+7),IF(G26="Em tratamento",IF(M26="",TODAY(),IF(TODAY()&lt;=M26+1,M26+1,EDATE(M26,6)-30)),IF(G26="Pós-venda",IF(J26="",TODAY(),J26+7),IF(G26="Perdido",IF(J26="",TODAY(),J26+60),""))))))))</f>
        <v>46285</v>
      </c>
    </row>
    <row r="27" customFormat="false" ht="15" hidden="false" customHeight="false" outlineLevel="0" collapsed="false">
      <c r="A27" s="12" t="s">
        <v>173</v>
      </c>
      <c r="B27" s="12" t="s">
        <v>174</v>
      </c>
      <c r="C27" s="12" t="s">
        <v>68</v>
      </c>
      <c r="D27" s="12"/>
      <c r="E27" s="12" t="s">
        <v>134</v>
      </c>
      <c r="F27" s="13" t="str">
        <f aca="false">IF(OR(E27="",E27="A completar",E27="Ainda não sabe"),"",IF(OR(E27="Limpeza de pele",E27="Peeling de diamante",E27="Microagulhamento"),"Rosto","Corpo"))</f>
        <v>Corpo</v>
      </c>
      <c r="G27" s="12" t="s">
        <v>46</v>
      </c>
      <c r="H27" s="12"/>
      <c r="I27" s="12" t="s">
        <v>97</v>
      </c>
      <c r="J27" s="14" t="n">
        <v>46250</v>
      </c>
      <c r="K27" s="12" t="n">
        <v>0</v>
      </c>
      <c r="L27" s="14"/>
      <c r="M27" s="14"/>
      <c r="N27" s="12"/>
      <c r="O27" s="12"/>
      <c r="P27" s="15" t="str">
        <f aca="false">IF(M27="","",EDATE(M27,6))</f>
        <v/>
      </c>
      <c r="Q27" s="15" t="n">
        <f aca="false">IF(W27="","",IF(WEEKDAY(W27)=1,W27+1,W27))</f>
        <v>46251</v>
      </c>
      <c r="R27" s="13" t="str">
        <f aca="true">IF(Q27="","",IF(AND(N(K27)&gt;=3,G27&lt;&gt;"Perdido"),"Mover para Perdido",IF(Q27&lt;TODAY(),"Atrasado",IF(Q27=TODAY(),"Hoje","No prazo"))))</f>
        <v>Atrasado</v>
      </c>
      <c r="S27" s="12" t="s">
        <v>121</v>
      </c>
      <c r="T27" s="12"/>
      <c r="U27" s="12"/>
      <c r="V27" s="7" t="s">
        <v>157</v>
      </c>
      <c r="W27" s="15" t="n">
        <f aca="true">IF(G27="","",IF(OR(G27="Novo contato",G27="Em conversa"),IF(J27="",TODAY(),J27+1),IF(G27="Avaliação marcada",IF(L27="",TODAY(),L27-1),IF(G27="Proposta enviada",IF(J27="",TODAY(),J27+2),IF(G27="Fechou pacote",IF(J27="",TODAY(),J27+7),IF(G27="Em tratamento",IF(M27="",TODAY(),IF(TODAY()&lt;=M27+1,M27+1,EDATE(M27,6)-30)),IF(G27="Pós-venda",IF(J27="",TODAY(),J27+7),IF(G27="Perdido",IF(J27="",TODAY(),J27+60),""))))))))</f>
        <v>46251</v>
      </c>
    </row>
    <row r="28" customFormat="false" ht="15" hidden="false" customHeight="false" outlineLevel="0" collapsed="false">
      <c r="A28" s="12" t="s">
        <v>175</v>
      </c>
      <c r="B28" s="12" t="s">
        <v>176</v>
      </c>
      <c r="C28" s="12" t="s">
        <v>59</v>
      </c>
      <c r="D28" s="12"/>
      <c r="E28" s="12" t="s">
        <v>152</v>
      </c>
      <c r="F28" s="13" t="str">
        <f aca="false">IF(OR(E28="",E28="A completar",E28="Ainda não sabe"),"",IF(OR(E28="Limpeza de pele",E28="Peeling de diamante",E28="Microagulhamento"),"Rosto","Corpo"))</f>
        <v>Rosto</v>
      </c>
      <c r="G28" s="12" t="s">
        <v>46</v>
      </c>
      <c r="H28" s="12"/>
      <c r="I28" s="12" t="s">
        <v>97</v>
      </c>
      <c r="J28" s="14"/>
      <c r="K28" s="12" t="n">
        <v>0</v>
      </c>
      <c r="L28" s="14"/>
      <c r="M28" s="14"/>
      <c r="N28" s="12"/>
      <c r="O28" s="12"/>
      <c r="P28" s="15" t="str">
        <f aca="false">IF(M28="","",EDATE(M28,6))</f>
        <v/>
      </c>
      <c r="Q28" s="15" t="n">
        <f aca="false">IF(W28="","",IF(WEEKDAY(W28)=1,W28+1,W28))</f>
        <v>46309</v>
      </c>
      <c r="R28" s="13" t="str">
        <f aca="true">IF(Q28="","",IF(AND(N(K28)&gt;=3,G28&lt;&gt;"Perdido"),"Mover para Perdido",IF(Q28&lt;TODAY(),"Atrasado",IF(Q28=TODAY(),"Hoje","No prazo"))))</f>
        <v>Hoje</v>
      </c>
      <c r="S28" s="12" t="s">
        <v>121</v>
      </c>
      <c r="T28" s="12"/>
      <c r="U28" s="12"/>
      <c r="V28" s="7" t="s">
        <v>157</v>
      </c>
      <c r="W28" s="15" t="n">
        <f aca="true">IF(G28="","",IF(OR(G28="Novo contato",G28="Em conversa"),IF(J28="",TODAY(),J28+1),IF(G28="Avaliação marcada",IF(L28="",TODAY(),L28-1),IF(G28="Proposta enviada",IF(J28="",TODAY(),J28+2),IF(G28="Fechou pacote",IF(J28="",TODAY(),J28+7),IF(G28="Em tratamento",IF(M28="",TODAY(),IF(TODAY()&lt;=M28+1,M28+1,EDATE(M28,6)-30)),IF(G28="Pós-venda",IF(J28="",TODAY(),J28+7),IF(G28="Perdido",IF(J28="",TODAY(),J28+60),""))))))))</f>
        <v>46309</v>
      </c>
    </row>
    <row r="29" customFormat="false" ht="15" hidden="false" customHeight="false" outlineLevel="0" collapsed="false">
      <c r="A29" s="12" t="s">
        <v>177</v>
      </c>
      <c r="B29" s="12" t="s">
        <v>178</v>
      </c>
      <c r="C29" s="12" t="s">
        <v>60</v>
      </c>
      <c r="D29" s="12"/>
      <c r="E29" s="12" t="s">
        <v>96</v>
      </c>
      <c r="F29" s="13" t="str">
        <f aca="false">IF(OR(E29="",E29="A completar",E29="Ainda não sabe"),"",IF(OR(E29="Limpeza de pele",E29="Peeling de diamante",E29="Microagulhamento"),"Rosto","Corpo"))</f>
        <v>Corpo</v>
      </c>
      <c r="G29" s="12" t="s">
        <v>44</v>
      </c>
      <c r="H29" s="12"/>
      <c r="I29" s="12" t="s">
        <v>97</v>
      </c>
      <c r="J29" s="14" t="n">
        <v>46291</v>
      </c>
      <c r="K29" s="12" t="n">
        <v>0</v>
      </c>
      <c r="L29" s="14"/>
      <c r="M29" s="14"/>
      <c r="N29" s="12"/>
      <c r="O29" s="12"/>
      <c r="P29" s="15" t="str">
        <f aca="false">IF(M29="","",EDATE(M29,6))</f>
        <v/>
      </c>
      <c r="Q29" s="15" t="n">
        <f aca="false">IF(W29="","",IF(WEEKDAY(W29)=1,W29+1,W29))</f>
        <v>46293</v>
      </c>
      <c r="R29" s="13" t="str">
        <f aca="true">IF(Q29="","",IF(AND(N(K29)&gt;=3,G29&lt;&gt;"Perdido"),"Mover para Perdido",IF(Q29&lt;TODAY(),"Atrasado",IF(Q29=TODAY(),"Hoje","No prazo"))))</f>
        <v>Atrasado</v>
      </c>
      <c r="S29" s="12"/>
      <c r="T29" s="12"/>
      <c r="U29" s="12"/>
      <c r="V29" s="7" t="s">
        <v>137</v>
      </c>
      <c r="W29" s="15" t="n">
        <f aca="true">IF(G29="","",IF(OR(G29="Novo contato",G29="Em conversa"),IF(J29="",TODAY(),J29+1),IF(G29="Avaliação marcada",IF(L29="",TODAY(),L29-1),IF(G29="Proposta enviada",IF(J29="",TODAY(),J29+2),IF(G29="Fechou pacote",IF(J29="",TODAY(),J29+7),IF(G29="Em tratamento",IF(M29="",TODAY(),IF(TODAY()&lt;=M29+1,M29+1,EDATE(M29,6)-30)),IF(G29="Pós-venda",IF(J29="",TODAY(),J29+7),IF(G29="Perdido",IF(J29="",TODAY(),J29+60),""))))))))</f>
        <v>46292</v>
      </c>
    </row>
    <row r="30" customFormat="false" ht="15" hidden="false" customHeight="false" outlineLevel="0" collapsed="false">
      <c r="A30" s="12" t="s">
        <v>179</v>
      </c>
      <c r="B30" s="12" t="s">
        <v>180</v>
      </c>
      <c r="C30" s="12" t="s">
        <v>57</v>
      </c>
      <c r="D30" s="12"/>
      <c r="E30" s="12" t="s">
        <v>68</v>
      </c>
      <c r="F30" s="13" t="str">
        <f aca="false">IF(OR(E30="",E30="A completar",E30="Ainda não sabe"),"",IF(OR(E30="Limpeza de pele",E30="Peeling de diamante",E30="Microagulhamento"),"Rosto","Corpo"))</f>
        <v/>
      </c>
      <c r="G30" s="12" t="s">
        <v>52</v>
      </c>
      <c r="H30" s="12"/>
      <c r="I30" s="12" t="s">
        <v>97</v>
      </c>
      <c r="J30" s="14" t="n">
        <v>46223</v>
      </c>
      <c r="K30" s="12" t="n">
        <v>0</v>
      </c>
      <c r="L30" s="14"/>
      <c r="M30" s="14"/>
      <c r="N30" s="12"/>
      <c r="O30" s="12"/>
      <c r="P30" s="15" t="str">
        <f aca="false">IF(M30="","",EDATE(M30,6))</f>
        <v/>
      </c>
      <c r="Q30" s="15" t="n">
        <f aca="false">IF(W30="","",IF(WEEKDAY(W30)=1,W30+1,W30))</f>
        <v>46230</v>
      </c>
      <c r="R30" s="13" t="str">
        <f aca="true">IF(Q30="","",IF(AND(N(K30)&gt;=3,G30&lt;&gt;"Perdido"),"Mover para Perdido",IF(Q30&lt;TODAY(),"Atrasado",IF(Q30=TODAY(),"Hoje","No prazo"))))</f>
        <v>Atrasado</v>
      </c>
      <c r="S30" s="12"/>
      <c r="T30" s="12"/>
      <c r="U30" s="12"/>
      <c r="V30" s="7" t="s">
        <v>149</v>
      </c>
      <c r="W30" s="15" t="n">
        <f aca="true">IF(G30="","",IF(OR(G30="Novo contato",G30="Em conversa"),IF(J30="",TODAY(),J30+1),IF(G30="Avaliação marcada",IF(L30="",TODAY(),L30-1),IF(G30="Proposta enviada",IF(J30="",TODAY(),J30+2),IF(G30="Fechou pacote",IF(J30="",TODAY(),J30+7),IF(G30="Em tratamento",IF(M30="",TODAY(),IF(TODAY()&lt;=M30+1,M30+1,EDATE(M30,6)-30)),IF(G30="Pós-venda",IF(J30="",TODAY(),J30+7),IF(G30="Perdido",IF(J30="",TODAY(),J30+60),""))))))))</f>
        <v>46230</v>
      </c>
    </row>
    <row r="31" customFormat="false" ht="15" hidden="false" customHeight="false" outlineLevel="0" collapsed="false">
      <c r="A31" s="12" t="s">
        <v>181</v>
      </c>
      <c r="B31" s="12" t="s">
        <v>182</v>
      </c>
      <c r="C31" s="12" t="s">
        <v>62</v>
      </c>
      <c r="D31" s="12" t="s">
        <v>143</v>
      </c>
      <c r="E31" s="12" t="s">
        <v>110</v>
      </c>
      <c r="F31" s="13" t="str">
        <f aca="false">IF(OR(E31="",E31="A completar",E31="Ainda não sabe"),"",IF(OR(E31="Limpeza de pele",E31="Peeling de diamante",E31="Microagulhamento"),"Rosto","Corpo"))</f>
        <v>Corpo</v>
      </c>
      <c r="G31" s="12" t="s">
        <v>50</v>
      </c>
      <c r="H31" s="12" t="s">
        <v>116</v>
      </c>
      <c r="I31" s="12" t="s">
        <v>97</v>
      </c>
      <c r="J31" s="14" t="n">
        <v>46267</v>
      </c>
      <c r="K31" s="12" t="n">
        <v>0</v>
      </c>
      <c r="L31" s="14"/>
      <c r="M31" s="14"/>
      <c r="N31" s="12"/>
      <c r="O31" s="12"/>
      <c r="P31" s="15" t="str">
        <f aca="false">IF(M31="","",EDATE(M31,6))</f>
        <v/>
      </c>
      <c r="Q31" s="15" t="n">
        <f aca="false">IF(W31="","",IF(WEEKDAY(W31)=1,W31+1,W31))</f>
        <v>46269</v>
      </c>
      <c r="R31" s="13" t="str">
        <f aca="true">IF(Q31="","",IF(AND(N(K31)&gt;=3,G31&lt;&gt;"Perdido"),"Mover para Perdido",IF(Q31&lt;TODAY(),"Atrasado",IF(Q31=TODAY(),"Hoje","No prazo"))))</f>
        <v>Atrasado</v>
      </c>
      <c r="S31" s="12"/>
      <c r="T31" s="12"/>
      <c r="U31" s="12" t="s">
        <v>183</v>
      </c>
      <c r="V31" s="7" t="s">
        <v>116</v>
      </c>
      <c r="W31" s="15" t="n">
        <f aca="true">IF(G31="","",IF(OR(G31="Novo contato",G31="Em conversa"),IF(J31="",TODAY(),J31+1),IF(G31="Avaliação marcada",IF(L31="",TODAY(),L31-1),IF(G31="Proposta enviada",IF(J31="",TODAY(),J31+2),IF(G31="Fechou pacote",IF(J31="",TODAY(),J31+7),IF(G31="Em tratamento",IF(M31="",TODAY(),IF(TODAY()&lt;=M31+1,M31+1,EDATE(M31,6)-30)),IF(G31="Pós-venda",IF(J31="",TODAY(),J31+7),IF(G31="Perdido",IF(J31="",TODAY(),J31+60),""))))))))</f>
        <v>46269</v>
      </c>
    </row>
    <row r="32" customFormat="false" ht="15" hidden="false" customHeight="false" outlineLevel="0" collapsed="false">
      <c r="A32" s="12" t="s">
        <v>184</v>
      </c>
      <c r="B32" s="12" t="s">
        <v>185</v>
      </c>
      <c r="C32" s="12" t="s">
        <v>62</v>
      </c>
      <c r="D32" s="12"/>
      <c r="E32" s="12" t="s">
        <v>152</v>
      </c>
      <c r="F32" s="13" t="str">
        <f aca="false">IF(OR(E32="",E32="A completar",E32="Ainda não sabe"),"",IF(OR(E32="Limpeza de pele",E32="Peeling de diamante",E32="Microagulhamento"),"Rosto","Corpo"))</f>
        <v>Rosto</v>
      </c>
      <c r="G32" s="12" t="s">
        <v>46</v>
      </c>
      <c r="H32" s="12"/>
      <c r="I32" s="12" t="s">
        <v>97</v>
      </c>
      <c r="J32" s="14" t="n">
        <v>46289</v>
      </c>
      <c r="K32" s="12" t="n">
        <v>0</v>
      </c>
      <c r="L32" s="14"/>
      <c r="M32" s="14"/>
      <c r="N32" s="12"/>
      <c r="O32" s="12"/>
      <c r="P32" s="15" t="str">
        <f aca="false">IF(M32="","",EDATE(M32,6))</f>
        <v/>
      </c>
      <c r="Q32" s="15" t="n">
        <f aca="false">IF(W32="","",IF(WEEKDAY(W32)=1,W32+1,W32))</f>
        <v>46290</v>
      </c>
      <c r="R32" s="13" t="str">
        <f aca="true">IF(Q32="","",IF(AND(N(K32)&gt;=3,G32&lt;&gt;"Perdido"),"Mover para Perdido",IF(Q32&lt;TODAY(),"Atrasado",IF(Q32=TODAY(),"Hoje","No prazo"))))</f>
        <v>Atrasado</v>
      </c>
      <c r="S32" s="12"/>
      <c r="T32" s="12"/>
      <c r="U32" s="12"/>
      <c r="V32" s="7" t="s">
        <v>124</v>
      </c>
      <c r="W32" s="15" t="n">
        <f aca="true">IF(G32="","",IF(OR(G32="Novo contato",G32="Em conversa"),IF(J32="",TODAY(),J32+1),IF(G32="Avaliação marcada",IF(L32="",TODAY(),L32-1),IF(G32="Proposta enviada",IF(J32="",TODAY(),J32+2),IF(G32="Fechou pacote",IF(J32="",TODAY(),J32+7),IF(G32="Em tratamento",IF(M32="",TODAY(),IF(TODAY()&lt;=M32+1,M32+1,EDATE(M32,6)-30)),IF(G32="Pós-venda",IF(J32="",TODAY(),J32+7),IF(G32="Perdido",IF(J32="",TODAY(),J32+60),""))))))))</f>
        <v>46290</v>
      </c>
    </row>
    <row r="33" customFormat="false" ht="15" hidden="false" customHeight="false" outlineLevel="0" collapsed="false">
      <c r="A33" s="12" t="s">
        <v>186</v>
      </c>
      <c r="B33" s="12" t="s">
        <v>187</v>
      </c>
      <c r="C33" s="12" t="s">
        <v>57</v>
      </c>
      <c r="D33" s="12"/>
      <c r="E33" s="12" t="s">
        <v>115</v>
      </c>
      <c r="F33" s="13" t="str">
        <f aca="false">IF(OR(E33="",E33="A completar",E33="Ainda não sabe"),"",IF(OR(E33="Limpeza de pele",E33="Peeling de diamante",E33="Microagulhamento"),"Rosto","Corpo"))</f>
        <v>Rosto</v>
      </c>
      <c r="G33" s="12" t="s">
        <v>44</v>
      </c>
      <c r="H33" s="12"/>
      <c r="I33" s="12" t="s">
        <v>97</v>
      </c>
      <c r="J33" s="14" t="n">
        <v>46293</v>
      </c>
      <c r="K33" s="12" t="n">
        <v>0</v>
      </c>
      <c r="L33" s="14"/>
      <c r="M33" s="14"/>
      <c r="N33" s="12"/>
      <c r="O33" s="12"/>
      <c r="P33" s="15" t="str">
        <f aca="false">IF(M33="","",EDATE(M33,6))</f>
        <v/>
      </c>
      <c r="Q33" s="15" t="n">
        <f aca="false">IF(W33="","",IF(WEEKDAY(W33)=1,W33+1,W33))</f>
        <v>46294</v>
      </c>
      <c r="R33" s="13" t="str">
        <f aca="true">IF(Q33="","",IF(AND(N(K33)&gt;=3,G33&lt;&gt;"Perdido"),"Mover para Perdido",IF(Q33&lt;TODAY(),"Atrasado",IF(Q33=TODAY(),"Hoje","No prazo"))))</f>
        <v>Atrasado</v>
      </c>
      <c r="S33" s="12" t="s">
        <v>130</v>
      </c>
      <c r="T33" s="12"/>
      <c r="U33" s="12"/>
      <c r="V33" s="7" t="s">
        <v>137</v>
      </c>
      <c r="W33" s="15" t="n">
        <f aca="true">IF(G33="","",IF(OR(G33="Novo contato",G33="Em conversa"),IF(J33="",TODAY(),J33+1),IF(G33="Avaliação marcada",IF(L33="",TODAY(),L33-1),IF(G33="Proposta enviada",IF(J33="",TODAY(),J33+2),IF(G33="Fechou pacote",IF(J33="",TODAY(),J33+7),IF(G33="Em tratamento",IF(M33="",TODAY(),IF(TODAY()&lt;=M33+1,M33+1,EDATE(M33,6)-30)),IF(G33="Pós-venda",IF(J33="",TODAY(),J33+7),IF(G33="Perdido",IF(J33="",TODAY(),J33+60),""))))))))</f>
        <v>46294</v>
      </c>
    </row>
    <row r="34" customFormat="false" ht="15" hidden="false" customHeight="false" outlineLevel="0" collapsed="false">
      <c r="A34" s="12" t="s">
        <v>188</v>
      </c>
      <c r="B34" s="12" t="s">
        <v>189</v>
      </c>
      <c r="C34" s="12" t="s">
        <v>62</v>
      </c>
      <c r="D34" s="12"/>
      <c r="E34" s="12" t="s">
        <v>134</v>
      </c>
      <c r="F34" s="13" t="str">
        <f aca="false">IF(OR(E34="",E34="A completar",E34="Ainda não sabe"),"",IF(OR(E34="Limpeza de pele",E34="Peeling de diamante",E34="Microagulhamento"),"Rosto","Corpo"))</f>
        <v>Corpo</v>
      </c>
      <c r="G34" s="12" t="s">
        <v>50</v>
      </c>
      <c r="H34" s="12" t="s">
        <v>190</v>
      </c>
      <c r="I34" s="12" t="s">
        <v>97</v>
      </c>
      <c r="J34" s="14" t="n">
        <v>46261</v>
      </c>
      <c r="K34" s="12" t="n">
        <v>0</v>
      </c>
      <c r="L34" s="14"/>
      <c r="M34" s="14"/>
      <c r="N34" s="12"/>
      <c r="O34" s="12"/>
      <c r="P34" s="15" t="str">
        <f aca="false">IF(M34="","",EDATE(M34,6))</f>
        <v/>
      </c>
      <c r="Q34" s="15" t="n">
        <f aca="false">IF(W34="","",IF(WEEKDAY(W34)=1,W34+1,W34))</f>
        <v>46263</v>
      </c>
      <c r="R34" s="13" t="str">
        <f aca="true">IF(Q34="","",IF(AND(N(K34)&gt;=3,G34&lt;&gt;"Perdido"),"Mover para Perdido",IF(Q34&lt;TODAY(),"Atrasado",IF(Q34=TODAY(),"Hoje","No prazo"))))</f>
        <v>Atrasado</v>
      </c>
      <c r="S34" s="12" t="s">
        <v>121</v>
      </c>
      <c r="T34" s="12"/>
      <c r="U34" s="12"/>
      <c r="V34" s="7" t="s">
        <v>190</v>
      </c>
      <c r="W34" s="15" t="n">
        <f aca="true">IF(G34="","",IF(OR(G34="Novo contato",G34="Em conversa"),IF(J34="",TODAY(),J34+1),IF(G34="Avaliação marcada",IF(L34="",TODAY(),L34-1),IF(G34="Proposta enviada",IF(J34="",TODAY(),J34+2),IF(G34="Fechou pacote",IF(J34="",TODAY(),J34+7),IF(G34="Em tratamento",IF(M34="",TODAY(),IF(TODAY()&lt;=M34+1,M34+1,EDATE(M34,6)-30)),IF(G34="Pós-venda",IF(J34="",TODAY(),J34+7),IF(G34="Perdido",IF(J34="",TODAY(),J34+60),""))))))))</f>
        <v>46263</v>
      </c>
    </row>
    <row r="35" customFormat="false" ht="15" hidden="false" customHeight="false" outlineLevel="0" collapsed="false">
      <c r="A35" s="12" t="s">
        <v>191</v>
      </c>
      <c r="B35" s="12" t="s">
        <v>192</v>
      </c>
      <c r="C35" s="12" t="s">
        <v>57</v>
      </c>
      <c r="D35" s="12"/>
      <c r="E35" s="12" t="s">
        <v>105</v>
      </c>
      <c r="F35" s="13" t="str">
        <f aca="false">IF(OR(E35="",E35="A completar",E35="Ainda não sabe"),"",IF(OR(E35="Limpeza de pele",E35="Peeling de diamante",E35="Microagulhamento"),"Rosto","Corpo"))</f>
        <v>Rosto</v>
      </c>
      <c r="G35" s="12" t="s">
        <v>44</v>
      </c>
      <c r="H35" s="12"/>
      <c r="I35" s="12" t="s">
        <v>97</v>
      </c>
      <c r="J35" s="14" t="n">
        <v>46229</v>
      </c>
      <c r="K35" s="12" t="n">
        <v>0</v>
      </c>
      <c r="L35" s="14"/>
      <c r="M35" s="14"/>
      <c r="N35" s="12"/>
      <c r="O35" s="12"/>
      <c r="P35" s="15" t="str">
        <f aca="false">IF(M35="","",EDATE(M35,6))</f>
        <v/>
      </c>
      <c r="Q35" s="15" t="n">
        <f aca="false">IF(W35="","",IF(WEEKDAY(W35)=1,W35+1,W35))</f>
        <v>46230</v>
      </c>
      <c r="R35" s="13" t="str">
        <f aca="true">IF(Q35="","",IF(AND(N(K35)&gt;=3,G35&lt;&gt;"Perdido"),"Mover para Perdido",IF(Q35&lt;TODAY(),"Atrasado",IF(Q35=TODAY(),"Hoje","No prazo"))))</f>
        <v>Atrasado</v>
      </c>
      <c r="S35" s="12" t="s">
        <v>154</v>
      </c>
      <c r="T35" s="12"/>
      <c r="U35" s="12"/>
      <c r="V35" s="7" t="s">
        <v>137</v>
      </c>
      <c r="W35" s="15" t="n">
        <f aca="true">IF(G35="","",IF(OR(G35="Novo contato",G35="Em conversa"),IF(J35="",TODAY(),J35+1),IF(G35="Avaliação marcada",IF(L35="",TODAY(),L35-1),IF(G35="Proposta enviada",IF(J35="",TODAY(),J35+2),IF(G35="Fechou pacote",IF(J35="",TODAY(),J35+7),IF(G35="Em tratamento",IF(M35="",TODAY(),IF(TODAY()&lt;=M35+1,M35+1,EDATE(M35,6)-30)),IF(G35="Pós-venda",IF(J35="",TODAY(),J35+7),IF(G35="Perdido",IF(J35="",TODAY(),J35+60),""))))))))</f>
        <v>46230</v>
      </c>
    </row>
    <row r="36" customFormat="false" ht="15" hidden="false" customHeight="false" outlineLevel="0" collapsed="false">
      <c r="A36" s="12" t="s">
        <v>193</v>
      </c>
      <c r="B36" s="12" t="s">
        <v>194</v>
      </c>
      <c r="C36" s="12" t="s">
        <v>57</v>
      </c>
      <c r="D36" s="12"/>
      <c r="E36" s="12" t="s">
        <v>134</v>
      </c>
      <c r="F36" s="13" t="str">
        <f aca="false">IF(OR(E36="",E36="A completar",E36="Ainda não sabe"),"",IF(OR(E36="Limpeza de pele",E36="Peeling de diamante",E36="Microagulhamento"),"Rosto","Corpo"))</f>
        <v>Corpo</v>
      </c>
      <c r="G36" s="12" t="s">
        <v>46</v>
      </c>
      <c r="H36" s="12"/>
      <c r="I36" s="12" t="s">
        <v>97</v>
      </c>
      <c r="J36" s="14" t="n">
        <v>46234</v>
      </c>
      <c r="K36" s="12" t="n">
        <v>0</v>
      </c>
      <c r="L36" s="14"/>
      <c r="M36" s="14"/>
      <c r="N36" s="12"/>
      <c r="O36" s="12"/>
      <c r="P36" s="15" t="str">
        <f aca="false">IF(M36="","",EDATE(M36,6))</f>
        <v/>
      </c>
      <c r="Q36" s="15" t="n">
        <f aca="false">IF(W36="","",IF(WEEKDAY(W36)=1,W36+1,W36))</f>
        <v>46235</v>
      </c>
      <c r="R36" s="13" t="str">
        <f aca="true">IF(Q36="","",IF(AND(N(K36)&gt;=3,G36&lt;&gt;"Perdido"),"Mover para Perdido",IF(Q36&lt;TODAY(),"Atrasado",IF(Q36=TODAY(),"Hoje","No prazo"))))</f>
        <v>Atrasado</v>
      </c>
      <c r="S36" s="12"/>
      <c r="T36" s="12"/>
      <c r="U36" s="12"/>
      <c r="V36" s="7" t="s">
        <v>157</v>
      </c>
      <c r="W36" s="15" t="n">
        <f aca="true">IF(G36="","",IF(OR(G36="Novo contato",G36="Em conversa"),IF(J36="",TODAY(),J36+1),IF(G36="Avaliação marcada",IF(L36="",TODAY(),L36-1),IF(G36="Proposta enviada",IF(J36="",TODAY(),J36+2),IF(G36="Fechou pacote",IF(J36="",TODAY(),J36+7),IF(G36="Em tratamento",IF(M36="",TODAY(),IF(TODAY()&lt;=M36+1,M36+1,EDATE(M36,6)-30)),IF(G36="Pós-venda",IF(J36="",TODAY(),J36+7),IF(G36="Perdido",IF(J36="",TODAY(),J36+60),""))))))))</f>
        <v>46235</v>
      </c>
    </row>
    <row r="37" customFormat="false" ht="15" hidden="false" customHeight="false" outlineLevel="0" collapsed="false">
      <c r="A37" s="12" t="s">
        <v>195</v>
      </c>
      <c r="B37" s="12" t="s">
        <v>196</v>
      </c>
      <c r="C37" s="12" t="s">
        <v>59</v>
      </c>
      <c r="D37" s="12"/>
      <c r="E37" s="12" t="s">
        <v>152</v>
      </c>
      <c r="F37" s="13" t="str">
        <f aca="false">IF(OR(E37="",E37="A completar",E37="Ainda não sabe"),"",IF(OR(E37="Limpeza de pele",E37="Peeling de diamante",E37="Microagulhamento"),"Rosto","Corpo"))</f>
        <v>Rosto</v>
      </c>
      <c r="G37" s="12" t="s">
        <v>50</v>
      </c>
      <c r="H37" s="12"/>
      <c r="I37" s="12" t="s">
        <v>97</v>
      </c>
      <c r="J37" s="14" t="n">
        <v>46235</v>
      </c>
      <c r="K37" s="12" t="n">
        <v>0</v>
      </c>
      <c r="L37" s="14"/>
      <c r="M37" s="14"/>
      <c r="N37" s="12"/>
      <c r="O37" s="12"/>
      <c r="P37" s="15" t="str">
        <f aca="false">IF(M37="","",EDATE(M37,6))</f>
        <v/>
      </c>
      <c r="Q37" s="15" t="n">
        <f aca="false">IF(W37="","",IF(WEEKDAY(W37)=1,W37+1,W37))</f>
        <v>46237</v>
      </c>
      <c r="R37" s="13" t="str">
        <f aca="true">IF(Q37="","",IF(AND(N(K37)&gt;=3,G37&lt;&gt;"Perdido"),"Mover para Perdido",IF(Q37&lt;TODAY(),"Atrasado",IF(Q37=TODAY(),"Hoje","No prazo"))))</f>
        <v>Atrasado</v>
      </c>
      <c r="S37" s="12"/>
      <c r="T37" s="12"/>
      <c r="U37" s="12"/>
      <c r="V37" s="7" t="s">
        <v>107</v>
      </c>
      <c r="W37" s="15" t="n">
        <f aca="true">IF(G37="","",IF(OR(G37="Novo contato",G37="Em conversa"),IF(J37="",TODAY(),J37+1),IF(G37="Avaliação marcada",IF(L37="",TODAY(),L37-1),IF(G37="Proposta enviada",IF(J37="",TODAY(),J37+2),IF(G37="Fechou pacote",IF(J37="",TODAY(),J37+7),IF(G37="Em tratamento",IF(M37="",TODAY(),IF(TODAY()&lt;=M37+1,M37+1,EDATE(M37,6)-30)),IF(G37="Pós-venda",IF(J37="",TODAY(),J37+7),IF(G37="Perdido",IF(J37="",TODAY(),J37+60),""))))))))</f>
        <v>46237</v>
      </c>
    </row>
    <row r="38" customFormat="false" ht="15" hidden="false" customHeight="false" outlineLevel="0" collapsed="false">
      <c r="A38" s="12" t="s">
        <v>197</v>
      </c>
      <c r="B38" s="12" t="s">
        <v>198</v>
      </c>
      <c r="C38" s="12" t="s">
        <v>57</v>
      </c>
      <c r="D38" s="12"/>
      <c r="E38" s="12" t="s">
        <v>134</v>
      </c>
      <c r="F38" s="13" t="str">
        <f aca="false">IF(OR(E38="",E38="A completar",E38="Ainda não sabe"),"",IF(OR(E38="Limpeza de pele",E38="Peeling de diamante",E38="Microagulhamento"),"Rosto","Corpo"))</f>
        <v>Corpo</v>
      </c>
      <c r="G38" s="12" t="s">
        <v>50</v>
      </c>
      <c r="H38" s="12"/>
      <c r="I38" s="12" t="s">
        <v>97</v>
      </c>
      <c r="J38" s="14" t="n">
        <v>46242</v>
      </c>
      <c r="K38" s="12" t="n">
        <v>0</v>
      </c>
      <c r="L38" s="14"/>
      <c r="M38" s="14"/>
      <c r="N38" s="12"/>
      <c r="O38" s="12"/>
      <c r="P38" s="15" t="str">
        <f aca="false">IF(M38="","",EDATE(M38,6))</f>
        <v/>
      </c>
      <c r="Q38" s="15" t="n">
        <f aca="false">IF(W38="","",IF(WEEKDAY(W38)=1,W38+1,W38))</f>
        <v>46244</v>
      </c>
      <c r="R38" s="13" t="str">
        <f aca="true">IF(Q38="","",IF(AND(N(K38)&gt;=3,G38&lt;&gt;"Perdido"),"Mover para Perdido",IF(Q38&lt;TODAY(),"Atrasado",IF(Q38=TODAY(),"Hoje","No prazo"))))</f>
        <v>Atrasado</v>
      </c>
      <c r="S38" s="12" t="s">
        <v>121</v>
      </c>
      <c r="T38" s="12"/>
      <c r="U38" s="12"/>
      <c r="V38" s="7" t="s">
        <v>107</v>
      </c>
      <c r="W38" s="15" t="n">
        <f aca="true">IF(G38="","",IF(OR(G38="Novo contato",G38="Em conversa"),IF(J38="",TODAY(),J38+1),IF(G38="Avaliação marcada",IF(L38="",TODAY(),L38-1),IF(G38="Proposta enviada",IF(J38="",TODAY(),J38+2),IF(G38="Fechou pacote",IF(J38="",TODAY(),J38+7),IF(G38="Em tratamento",IF(M38="",TODAY(),IF(TODAY()&lt;=M38+1,M38+1,EDATE(M38,6)-30)),IF(G38="Pós-venda",IF(J38="",TODAY(),J38+7),IF(G38="Perdido",IF(J38="",TODAY(),J38+60),""))))))))</f>
        <v>46244</v>
      </c>
    </row>
    <row r="39" customFormat="false" ht="15" hidden="false" customHeight="false" outlineLevel="0" collapsed="false">
      <c r="A39" s="12" t="s">
        <v>199</v>
      </c>
      <c r="B39" s="12" t="s">
        <v>200</v>
      </c>
      <c r="C39" s="12" t="s">
        <v>60</v>
      </c>
      <c r="D39" s="12"/>
      <c r="E39" s="12" t="s">
        <v>152</v>
      </c>
      <c r="F39" s="13" t="str">
        <f aca="false">IF(OR(E39="",E39="A completar",E39="Ainda não sabe"),"",IF(OR(E39="Limpeza de pele",E39="Peeling de diamante",E39="Microagulhamento"),"Rosto","Corpo"))</f>
        <v>Rosto</v>
      </c>
      <c r="G39" s="12" t="s">
        <v>48</v>
      </c>
      <c r="H39" s="12"/>
      <c r="I39" s="12" t="s">
        <v>97</v>
      </c>
      <c r="J39" s="14" t="n">
        <v>46251</v>
      </c>
      <c r="K39" s="12" t="n">
        <v>0</v>
      </c>
      <c r="L39" s="14"/>
      <c r="M39" s="14"/>
      <c r="N39" s="12"/>
      <c r="O39" s="12"/>
      <c r="P39" s="15" t="str">
        <f aca="false">IF(M39="","",EDATE(M39,6))</f>
        <v/>
      </c>
      <c r="Q39" s="15" t="n">
        <f aca="false">IF(W39="","",IF(WEEKDAY(W39)=1,W39+1,W39))</f>
        <v>46309</v>
      </c>
      <c r="R39" s="13" t="str">
        <f aca="true">IF(Q39="","",IF(AND(N(K39)&gt;=3,G39&lt;&gt;"Perdido"),"Mover para Perdido",IF(Q39&lt;TODAY(),"Atrasado",IF(Q39=TODAY(),"Hoje","No prazo"))))</f>
        <v>Hoje</v>
      </c>
      <c r="S39" s="12" t="s">
        <v>106</v>
      </c>
      <c r="T39" s="12"/>
      <c r="U39" s="12"/>
      <c r="V39" s="7" t="s">
        <v>127</v>
      </c>
      <c r="W39" s="15" t="n">
        <f aca="true">IF(G39="","",IF(OR(G39="Novo contato",G39="Em conversa"),IF(J39="",TODAY(),J39+1),IF(G39="Avaliação marcada",IF(L39="",TODAY(),L39-1),IF(G39="Proposta enviada",IF(J39="",TODAY(),J39+2),IF(G39="Fechou pacote",IF(J39="",TODAY(),J39+7),IF(G39="Em tratamento",IF(M39="",TODAY(),IF(TODAY()&lt;=M39+1,M39+1,EDATE(M39,6)-30)),IF(G39="Pós-venda",IF(J39="",TODAY(),J39+7),IF(G39="Perdido",IF(J39="",TODAY(),J39+60),""))))))))</f>
        <v>46309</v>
      </c>
    </row>
    <row r="40" customFormat="false" ht="15" hidden="false" customHeight="false" outlineLevel="0" collapsed="false">
      <c r="A40" s="12" t="s">
        <v>201</v>
      </c>
      <c r="B40" s="12" t="s">
        <v>202</v>
      </c>
      <c r="C40" s="12" t="s">
        <v>59</v>
      </c>
      <c r="D40" s="12"/>
      <c r="E40" s="12" t="s">
        <v>110</v>
      </c>
      <c r="F40" s="13" t="str">
        <f aca="false">IF(OR(E40="",E40="A completar",E40="Ainda não sabe"),"",IF(OR(E40="Limpeza de pele",E40="Peeling de diamante",E40="Microagulhamento"),"Rosto","Corpo"))</f>
        <v>Corpo</v>
      </c>
      <c r="G40" s="12" t="s">
        <v>46</v>
      </c>
      <c r="H40" s="12"/>
      <c r="I40" s="12" t="s">
        <v>97</v>
      </c>
      <c r="J40" s="14" t="n">
        <v>46275</v>
      </c>
      <c r="K40" s="12" t="n">
        <v>1</v>
      </c>
      <c r="L40" s="14"/>
      <c r="M40" s="14"/>
      <c r="N40" s="12"/>
      <c r="O40" s="12"/>
      <c r="P40" s="15" t="str">
        <f aca="false">IF(M40="","",EDATE(M40,6))</f>
        <v/>
      </c>
      <c r="Q40" s="15" t="n">
        <f aca="false">IF(W40="","",IF(WEEKDAY(W40)=1,W40+1,W40))</f>
        <v>46276</v>
      </c>
      <c r="R40" s="13" t="str">
        <f aca="true">IF(Q40="","",IF(AND(N(K40)&gt;=3,G40&lt;&gt;"Perdido"),"Mover para Perdido",IF(Q40&lt;TODAY(),"Atrasado",IF(Q40=TODAY(),"Hoje","No prazo"))))</f>
        <v>Atrasado</v>
      </c>
      <c r="S40" s="12" t="s">
        <v>106</v>
      </c>
      <c r="T40" s="12"/>
      <c r="U40" s="12"/>
      <c r="V40" s="7" t="s">
        <v>102</v>
      </c>
      <c r="W40" s="15" t="n">
        <f aca="true">IF(G40="","",IF(OR(G40="Novo contato",G40="Em conversa"),IF(J40="",TODAY(),J40+1),IF(G40="Avaliação marcada",IF(L40="",TODAY(),L40-1),IF(G40="Proposta enviada",IF(J40="",TODAY(),J40+2),IF(G40="Fechou pacote",IF(J40="",TODAY(),J40+7),IF(G40="Em tratamento",IF(M40="",TODAY(),IF(TODAY()&lt;=M40+1,M40+1,EDATE(M40,6)-30)),IF(G40="Pós-venda",IF(J40="",TODAY(),J40+7),IF(G40="Perdido",IF(J40="",TODAY(),J40+60),""))))))))</f>
        <v>46276</v>
      </c>
    </row>
    <row r="41" customFormat="false" ht="15" hidden="false" customHeight="false" outlineLevel="0" collapsed="false">
      <c r="A41" s="12" t="s">
        <v>203</v>
      </c>
      <c r="B41" s="12" t="s">
        <v>204</v>
      </c>
      <c r="C41" s="12" t="s">
        <v>59</v>
      </c>
      <c r="D41" s="12"/>
      <c r="E41" s="12" t="s">
        <v>96</v>
      </c>
      <c r="F41" s="13" t="str">
        <f aca="false">IF(OR(E41="",E41="A completar",E41="Ainda não sabe"),"",IF(OR(E41="Limpeza de pele",E41="Peeling de diamante",E41="Microagulhamento"),"Rosto","Corpo"))</f>
        <v>Corpo</v>
      </c>
      <c r="G41" s="12" t="s">
        <v>48</v>
      </c>
      <c r="H41" s="12"/>
      <c r="I41" s="12" t="s">
        <v>97</v>
      </c>
      <c r="J41" s="14"/>
      <c r="K41" s="12" t="n">
        <v>0</v>
      </c>
      <c r="L41" s="14"/>
      <c r="M41" s="14"/>
      <c r="N41" s="12"/>
      <c r="O41" s="12"/>
      <c r="P41" s="15" t="str">
        <f aca="false">IF(M41="","",EDATE(M41,6))</f>
        <v/>
      </c>
      <c r="Q41" s="15" t="n">
        <f aca="false">IF(W41="","",IF(WEEKDAY(W41)=1,W41+1,W41))</f>
        <v>46309</v>
      </c>
      <c r="R41" s="13" t="str">
        <f aca="true">IF(Q41="","",IF(AND(N(K41)&gt;=3,G41&lt;&gt;"Perdido"),"Mover para Perdido",IF(Q41&lt;TODAY(),"Atrasado",IF(Q41=TODAY(),"Hoje","No prazo"))))</f>
        <v>Hoje</v>
      </c>
      <c r="S41" s="12"/>
      <c r="T41" s="12"/>
      <c r="U41" s="12"/>
      <c r="V41" s="7" t="s">
        <v>127</v>
      </c>
      <c r="W41" s="15" t="n">
        <f aca="true">IF(G41="","",IF(OR(G41="Novo contato",G41="Em conversa"),IF(J41="",TODAY(),J41+1),IF(G41="Avaliação marcada",IF(L41="",TODAY(),L41-1),IF(G41="Proposta enviada",IF(J41="",TODAY(),J41+2),IF(G41="Fechou pacote",IF(J41="",TODAY(),J41+7),IF(G41="Em tratamento",IF(M41="",TODAY(),IF(TODAY()&lt;=M41+1,M41+1,EDATE(M41,6)-30)),IF(G41="Pós-venda",IF(J41="",TODAY(),J41+7),IF(G41="Perdido",IF(J41="",TODAY(),J41+60),""))))))))</f>
        <v>46309</v>
      </c>
    </row>
    <row r="42" customFormat="false" ht="15" hidden="false" customHeight="false" outlineLevel="0" collapsed="false">
      <c r="A42" s="12" t="s">
        <v>205</v>
      </c>
      <c r="B42" s="12" t="s">
        <v>206</v>
      </c>
      <c r="C42" s="12" t="s">
        <v>57</v>
      </c>
      <c r="D42" s="12"/>
      <c r="E42" s="12" t="s">
        <v>68</v>
      </c>
      <c r="F42" s="13" t="str">
        <f aca="false">IF(OR(E42="",E42="A completar",E42="Ainda não sabe"),"",IF(OR(E42="Limpeza de pele",E42="Peeling de diamante",E42="Microagulhamento"),"Rosto","Corpo"))</f>
        <v/>
      </c>
      <c r="G42" s="12" t="s">
        <v>46</v>
      </c>
      <c r="H42" s="12"/>
      <c r="I42" s="12" t="s">
        <v>97</v>
      </c>
      <c r="J42" s="14" t="n">
        <v>46223</v>
      </c>
      <c r="K42" s="12" t="n">
        <v>0</v>
      </c>
      <c r="L42" s="14"/>
      <c r="M42" s="14"/>
      <c r="N42" s="12"/>
      <c r="O42" s="12"/>
      <c r="P42" s="15" t="str">
        <f aca="false">IF(M42="","",EDATE(M42,6))</f>
        <v/>
      </c>
      <c r="Q42" s="15" t="n">
        <f aca="false">IF(W42="","",IF(WEEKDAY(W42)=1,W42+1,W42))</f>
        <v>46224</v>
      </c>
      <c r="R42" s="13" t="str">
        <f aca="true">IF(Q42="","",IF(AND(N(K42)&gt;=3,G42&lt;&gt;"Perdido"),"Mover para Perdido",IF(Q42&lt;TODAY(),"Atrasado",IF(Q42=TODAY(),"Hoje","No prazo"))))</f>
        <v>Atrasado</v>
      </c>
      <c r="S42" s="12" t="s">
        <v>111</v>
      </c>
      <c r="T42" s="12"/>
      <c r="U42" s="12"/>
      <c r="V42" s="7" t="s">
        <v>124</v>
      </c>
      <c r="W42" s="15" t="n">
        <f aca="true">IF(G42="","",IF(OR(G42="Novo contato",G42="Em conversa"),IF(J42="",TODAY(),J42+1),IF(G42="Avaliação marcada",IF(L42="",TODAY(),L42-1),IF(G42="Proposta enviada",IF(J42="",TODAY(),J42+2),IF(G42="Fechou pacote",IF(J42="",TODAY(),J42+7),IF(G42="Em tratamento",IF(M42="",TODAY(),IF(TODAY()&lt;=M42+1,M42+1,EDATE(M42,6)-30)),IF(G42="Pós-venda",IF(J42="",TODAY(),J42+7),IF(G42="Perdido",IF(J42="",TODAY(),J42+60),""))))))))</f>
        <v>46224</v>
      </c>
    </row>
    <row r="43" customFormat="false" ht="15" hidden="false" customHeight="false" outlineLevel="0" collapsed="false">
      <c r="A43" s="12" t="s">
        <v>207</v>
      </c>
      <c r="B43" s="12" t="s">
        <v>208</v>
      </c>
      <c r="C43" s="12" t="s">
        <v>57</v>
      </c>
      <c r="D43" s="12"/>
      <c r="E43" s="12" t="s">
        <v>101</v>
      </c>
      <c r="F43" s="13" t="str">
        <f aca="false">IF(OR(E43="",E43="A completar",E43="Ainda não sabe"),"",IF(OR(E43="Limpeza de pele",E43="Peeling de diamante",E43="Microagulhamento"),"Rosto","Corpo"))</f>
        <v>Corpo</v>
      </c>
      <c r="G43" s="12" t="s">
        <v>50</v>
      </c>
      <c r="H43" s="12" t="s">
        <v>116</v>
      </c>
      <c r="I43" s="12" t="s">
        <v>97</v>
      </c>
      <c r="J43" s="14" t="n">
        <v>46230</v>
      </c>
      <c r="K43" s="12" t="n">
        <v>0</v>
      </c>
      <c r="L43" s="14"/>
      <c r="M43" s="14"/>
      <c r="N43" s="12"/>
      <c r="O43" s="12"/>
      <c r="P43" s="15" t="str">
        <f aca="false">IF(M43="","",EDATE(M43,6))</f>
        <v/>
      </c>
      <c r="Q43" s="15" t="n">
        <f aca="false">IF(W43="","",IF(WEEKDAY(W43)=1,W43+1,W43))</f>
        <v>46232</v>
      </c>
      <c r="R43" s="13" t="str">
        <f aca="true">IF(Q43="","",IF(AND(N(K43)&gt;=3,G43&lt;&gt;"Perdido"),"Mover para Perdido",IF(Q43&lt;TODAY(),"Atrasado",IF(Q43=TODAY(),"Hoje","No prazo"))))</f>
        <v>Atrasado</v>
      </c>
      <c r="S43" s="12"/>
      <c r="T43" s="12"/>
      <c r="U43" s="12"/>
      <c r="V43" s="7" t="s">
        <v>116</v>
      </c>
      <c r="W43" s="15" t="n">
        <f aca="true">IF(G43="","",IF(OR(G43="Novo contato",G43="Em conversa"),IF(J43="",TODAY(),J43+1),IF(G43="Avaliação marcada",IF(L43="",TODAY(),L43-1),IF(G43="Proposta enviada",IF(J43="",TODAY(),J43+2),IF(G43="Fechou pacote",IF(J43="",TODAY(),J43+7),IF(G43="Em tratamento",IF(M43="",TODAY(),IF(TODAY()&lt;=M43+1,M43+1,EDATE(M43,6)-30)),IF(G43="Pós-venda",IF(J43="",TODAY(),J43+7),IF(G43="Perdido",IF(J43="",TODAY(),J43+60),""))))))))</f>
        <v>46232</v>
      </c>
    </row>
    <row r="44" customFormat="false" ht="15" hidden="false" customHeight="false" outlineLevel="0" collapsed="false">
      <c r="A44" s="12" t="s">
        <v>209</v>
      </c>
      <c r="B44" s="12" t="s">
        <v>210</v>
      </c>
      <c r="C44" s="12" t="s">
        <v>62</v>
      </c>
      <c r="D44" s="12" t="s">
        <v>143</v>
      </c>
      <c r="E44" s="12" t="s">
        <v>152</v>
      </c>
      <c r="F44" s="13" t="str">
        <f aca="false">IF(OR(E44="",E44="A completar",E44="Ainda não sabe"),"",IF(OR(E44="Limpeza de pele",E44="Peeling de diamante",E44="Microagulhamento"),"Rosto","Corpo"))</f>
        <v>Rosto</v>
      </c>
      <c r="G44" s="12" t="s">
        <v>50</v>
      </c>
      <c r="H44" s="12"/>
      <c r="I44" s="12" t="s">
        <v>97</v>
      </c>
      <c r="J44" s="14" t="n">
        <v>46261</v>
      </c>
      <c r="K44" s="12" t="n">
        <v>0</v>
      </c>
      <c r="L44" s="14"/>
      <c r="M44" s="14"/>
      <c r="N44" s="12"/>
      <c r="O44" s="12"/>
      <c r="P44" s="15" t="str">
        <f aca="false">IF(M44="","",EDATE(M44,6))</f>
        <v/>
      </c>
      <c r="Q44" s="15" t="n">
        <f aca="false">IF(W44="","",IF(WEEKDAY(W44)=1,W44+1,W44))</f>
        <v>46263</v>
      </c>
      <c r="R44" s="13" t="str">
        <f aca="true">IF(Q44="","",IF(AND(N(K44)&gt;=3,G44&lt;&gt;"Perdido"),"Mover para Perdido",IF(Q44&lt;TODAY(),"Atrasado",IF(Q44=TODAY(),"Hoje","No prazo"))))</f>
        <v>Atrasado</v>
      </c>
      <c r="S44" s="12"/>
      <c r="T44" s="12"/>
      <c r="U44" s="12" t="s">
        <v>183</v>
      </c>
      <c r="V44" s="7" t="s">
        <v>107</v>
      </c>
      <c r="W44" s="15" t="n">
        <f aca="true">IF(G44="","",IF(OR(G44="Novo contato",G44="Em conversa"),IF(J44="",TODAY(),J44+1),IF(G44="Avaliação marcada",IF(L44="",TODAY(),L44-1),IF(G44="Proposta enviada",IF(J44="",TODAY(),J44+2),IF(G44="Fechou pacote",IF(J44="",TODAY(),J44+7),IF(G44="Em tratamento",IF(M44="",TODAY(),IF(TODAY()&lt;=M44+1,M44+1,EDATE(M44,6)-30)),IF(G44="Pós-venda",IF(J44="",TODAY(),J44+7),IF(G44="Perdido",IF(J44="",TODAY(),J44+60),""))))))))</f>
        <v>46263</v>
      </c>
    </row>
    <row r="45" customFormat="false" ht="15" hidden="false" customHeight="false" outlineLevel="0" collapsed="false">
      <c r="A45" s="12" t="s">
        <v>211</v>
      </c>
      <c r="B45" s="12" t="s">
        <v>212</v>
      </c>
      <c r="C45" s="12" t="s">
        <v>62</v>
      </c>
      <c r="D45" s="12"/>
      <c r="E45" s="12" t="s">
        <v>115</v>
      </c>
      <c r="F45" s="13" t="str">
        <f aca="false">IF(OR(E45="",E45="A completar",E45="Ainda não sabe"),"",IF(OR(E45="Limpeza de pele",E45="Peeling de diamante",E45="Microagulhamento"),"Rosto","Corpo"))</f>
        <v>Rosto</v>
      </c>
      <c r="G45" s="12" t="s">
        <v>44</v>
      </c>
      <c r="H45" s="12"/>
      <c r="I45" s="12" t="s">
        <v>97</v>
      </c>
      <c r="J45" s="14"/>
      <c r="K45" s="12" t="n">
        <v>0</v>
      </c>
      <c r="L45" s="14"/>
      <c r="M45" s="14"/>
      <c r="N45" s="12"/>
      <c r="O45" s="12"/>
      <c r="P45" s="15" t="str">
        <f aca="false">IF(M45="","",EDATE(M45,6))</f>
        <v/>
      </c>
      <c r="Q45" s="15" t="n">
        <f aca="false">IF(W45="","",IF(WEEKDAY(W45)=1,W45+1,W45))</f>
        <v>46309</v>
      </c>
      <c r="R45" s="13" t="str">
        <f aca="true">IF(Q45="","",IF(AND(N(K45)&gt;=3,G45&lt;&gt;"Perdido"),"Mover para Perdido",IF(Q45&lt;TODAY(),"Atrasado",IF(Q45=TODAY(),"Hoje","No prazo"))))</f>
        <v>Hoje</v>
      </c>
      <c r="S45" s="12" t="s">
        <v>111</v>
      </c>
      <c r="T45" s="12"/>
      <c r="U45" s="12"/>
      <c r="V45" s="7" t="s">
        <v>137</v>
      </c>
      <c r="W45" s="15" t="n">
        <f aca="true">IF(G45="","",IF(OR(G45="Novo contato",G45="Em conversa"),IF(J45="",TODAY(),J45+1),IF(G45="Avaliação marcada",IF(L45="",TODAY(),L45-1),IF(G45="Proposta enviada",IF(J45="",TODAY(),J45+2),IF(G45="Fechou pacote",IF(J45="",TODAY(),J45+7),IF(G45="Em tratamento",IF(M45="",TODAY(),IF(TODAY()&lt;=M45+1,M45+1,EDATE(M45,6)-30)),IF(G45="Pós-venda",IF(J45="",TODAY(),J45+7),IF(G45="Perdido",IF(J45="",TODAY(),J45+60),""))))))))</f>
        <v>46309</v>
      </c>
    </row>
    <row r="46" customFormat="false" ht="15" hidden="false" customHeight="false" outlineLevel="0" collapsed="false">
      <c r="A46" s="12" t="s">
        <v>213</v>
      </c>
      <c r="B46" s="12" t="s">
        <v>214</v>
      </c>
      <c r="C46" s="12" t="s">
        <v>62</v>
      </c>
      <c r="D46" s="12"/>
      <c r="E46" s="12" t="s">
        <v>101</v>
      </c>
      <c r="F46" s="13" t="str">
        <f aca="false">IF(OR(E46="",E46="A completar",E46="Ainda não sabe"),"",IF(OR(E46="Limpeza de pele",E46="Peeling de diamante",E46="Microagulhamento"),"Rosto","Corpo"))</f>
        <v>Corpo</v>
      </c>
      <c r="G46" s="12" t="s">
        <v>44</v>
      </c>
      <c r="H46" s="12"/>
      <c r="I46" s="12" t="s">
        <v>97</v>
      </c>
      <c r="J46" s="14" t="n">
        <v>46224</v>
      </c>
      <c r="K46" s="12" t="n">
        <v>0</v>
      </c>
      <c r="L46" s="14"/>
      <c r="M46" s="14"/>
      <c r="N46" s="12"/>
      <c r="O46" s="12"/>
      <c r="P46" s="15" t="str">
        <f aca="false">IF(M46="","",EDATE(M46,6))</f>
        <v/>
      </c>
      <c r="Q46" s="15" t="n">
        <f aca="false">IF(W46="","",IF(WEEKDAY(W46)=1,W46+1,W46))</f>
        <v>46225</v>
      </c>
      <c r="R46" s="13" t="str">
        <f aca="true">IF(Q46="","",IF(AND(N(K46)&gt;=3,G46&lt;&gt;"Perdido"),"Mover para Perdido",IF(Q46&lt;TODAY(),"Atrasado",IF(Q46=TODAY(),"Hoje","No prazo"))))</f>
        <v>Atrasado</v>
      </c>
      <c r="S46" s="12" t="s">
        <v>130</v>
      </c>
      <c r="T46" s="12"/>
      <c r="U46" s="12"/>
      <c r="V46" s="7" t="s">
        <v>137</v>
      </c>
      <c r="W46" s="15" t="n">
        <f aca="true">IF(G46="","",IF(OR(G46="Novo contato",G46="Em conversa"),IF(J46="",TODAY(),J46+1),IF(G46="Avaliação marcada",IF(L46="",TODAY(),L46-1),IF(G46="Proposta enviada",IF(J46="",TODAY(),J46+2),IF(G46="Fechou pacote",IF(J46="",TODAY(),J46+7),IF(G46="Em tratamento",IF(M46="",TODAY(),IF(TODAY()&lt;=M46+1,M46+1,EDATE(M46,6)-30)),IF(G46="Pós-venda",IF(J46="",TODAY(),J46+7),IF(G46="Perdido",IF(J46="",TODAY(),J46+60),""))))))))</f>
        <v>46225</v>
      </c>
    </row>
    <row r="47" customFormat="false" ht="15" hidden="false" customHeight="false" outlineLevel="0" collapsed="false">
      <c r="A47" s="12" t="s">
        <v>215</v>
      </c>
      <c r="B47" s="12" t="s">
        <v>216</v>
      </c>
      <c r="C47" s="12" t="s">
        <v>57</v>
      </c>
      <c r="D47" s="12"/>
      <c r="E47" s="12" t="s">
        <v>115</v>
      </c>
      <c r="F47" s="13" t="str">
        <f aca="false">IF(OR(E47="",E47="A completar",E47="Ainda não sabe"),"",IF(OR(E47="Limpeza de pele",E47="Peeling de diamante",E47="Microagulhamento"),"Rosto","Corpo"))</f>
        <v>Rosto</v>
      </c>
      <c r="G47" s="12" t="s">
        <v>48</v>
      </c>
      <c r="H47" s="12"/>
      <c r="I47" s="12" t="s">
        <v>97</v>
      </c>
      <c r="J47" s="14" t="n">
        <v>46253</v>
      </c>
      <c r="K47" s="12" t="n">
        <v>0</v>
      </c>
      <c r="L47" s="14"/>
      <c r="M47" s="14"/>
      <c r="N47" s="12"/>
      <c r="O47" s="12"/>
      <c r="P47" s="15" t="str">
        <f aca="false">IF(M47="","",EDATE(M47,6))</f>
        <v/>
      </c>
      <c r="Q47" s="15" t="n">
        <f aca="false">IF(W47="","",IF(WEEKDAY(W47)=1,W47+1,W47))</f>
        <v>46309</v>
      </c>
      <c r="R47" s="13" t="str">
        <f aca="true">IF(Q47="","",IF(AND(N(K47)&gt;=3,G47&lt;&gt;"Perdido"),"Mover para Perdido",IF(Q47&lt;TODAY(),"Atrasado",IF(Q47=TODAY(),"Hoje","No prazo"))))</f>
        <v>Hoje</v>
      </c>
      <c r="S47" s="12" t="s">
        <v>106</v>
      </c>
      <c r="T47" s="12"/>
      <c r="U47" s="12"/>
      <c r="V47" s="7" t="s">
        <v>127</v>
      </c>
      <c r="W47" s="15" t="n">
        <f aca="true">IF(G47="","",IF(OR(G47="Novo contato",G47="Em conversa"),IF(J47="",TODAY(),J47+1),IF(G47="Avaliação marcada",IF(L47="",TODAY(),L47-1),IF(G47="Proposta enviada",IF(J47="",TODAY(),J47+2),IF(G47="Fechou pacote",IF(J47="",TODAY(),J47+7),IF(G47="Em tratamento",IF(M47="",TODAY(),IF(TODAY()&lt;=M47+1,M47+1,EDATE(M47,6)-30)),IF(G47="Pós-venda",IF(J47="",TODAY(),J47+7),IF(G47="Perdido",IF(J47="",TODAY(),J47+60),""))))))))</f>
        <v>46309</v>
      </c>
    </row>
    <row r="48" customFormat="false" ht="15" hidden="false" customHeight="false" outlineLevel="0" collapsed="false">
      <c r="A48" s="12" t="s">
        <v>217</v>
      </c>
      <c r="B48" s="12" t="s">
        <v>218</v>
      </c>
      <c r="C48" s="12" t="s">
        <v>62</v>
      </c>
      <c r="D48" s="12"/>
      <c r="E48" s="12" t="s">
        <v>134</v>
      </c>
      <c r="F48" s="13" t="str">
        <f aca="false">IF(OR(E48="",E48="A completar",E48="Ainda não sabe"),"",IF(OR(E48="Limpeza de pele",E48="Peeling de diamante",E48="Microagulhamento"),"Rosto","Corpo"))</f>
        <v>Corpo</v>
      </c>
      <c r="G48" s="12" t="s">
        <v>46</v>
      </c>
      <c r="H48" s="12"/>
      <c r="I48" s="12" t="s">
        <v>97</v>
      </c>
      <c r="J48" s="14" t="n">
        <v>46268</v>
      </c>
      <c r="K48" s="12" t="n">
        <v>0</v>
      </c>
      <c r="L48" s="14"/>
      <c r="M48" s="14"/>
      <c r="N48" s="12"/>
      <c r="O48" s="12"/>
      <c r="P48" s="15" t="str">
        <f aca="false">IF(M48="","",EDATE(M48,6))</f>
        <v/>
      </c>
      <c r="Q48" s="15" t="n">
        <f aca="false">IF(W48="","",IF(WEEKDAY(W48)=1,W48+1,W48))</f>
        <v>46269</v>
      </c>
      <c r="R48" s="13" t="str">
        <f aca="true">IF(Q48="","",IF(AND(N(K48)&gt;=3,G48&lt;&gt;"Perdido"),"Mover para Perdido",IF(Q48&lt;TODAY(),"Atrasado",IF(Q48=TODAY(),"Hoje","No prazo"))))</f>
        <v>Atrasado</v>
      </c>
      <c r="S48" s="12"/>
      <c r="T48" s="12"/>
      <c r="U48" s="12"/>
      <c r="V48" s="7" t="s">
        <v>124</v>
      </c>
      <c r="W48" s="15" t="n">
        <f aca="true">IF(G48="","",IF(OR(G48="Novo contato",G48="Em conversa"),IF(J48="",TODAY(),J48+1),IF(G48="Avaliação marcada",IF(L48="",TODAY(),L48-1),IF(G48="Proposta enviada",IF(J48="",TODAY(),J48+2),IF(G48="Fechou pacote",IF(J48="",TODAY(),J48+7),IF(G48="Em tratamento",IF(M48="",TODAY(),IF(TODAY()&lt;=M48+1,M48+1,EDATE(M48,6)-30)),IF(G48="Pós-venda",IF(J48="",TODAY(),J48+7),IF(G48="Perdido",IF(J48="",TODAY(),J48+60),""))))))))</f>
        <v>46269</v>
      </c>
    </row>
    <row r="49" customFormat="false" ht="15" hidden="false" customHeight="false" outlineLevel="0" collapsed="false">
      <c r="A49" s="12" t="s">
        <v>219</v>
      </c>
      <c r="B49" s="12" t="s">
        <v>220</v>
      </c>
      <c r="C49" s="12" t="s">
        <v>57</v>
      </c>
      <c r="D49" s="12"/>
      <c r="E49" s="12" t="s">
        <v>105</v>
      </c>
      <c r="F49" s="13" t="str">
        <f aca="false">IF(OR(E49="",E49="A completar",E49="Ainda não sabe"),"",IF(OR(E49="Limpeza de pele",E49="Peeling de diamante",E49="Microagulhamento"),"Rosto","Corpo"))</f>
        <v>Rosto</v>
      </c>
      <c r="G49" s="12" t="s">
        <v>46</v>
      </c>
      <c r="H49" s="12"/>
      <c r="I49" s="12" t="s">
        <v>97</v>
      </c>
      <c r="J49" s="14" t="n">
        <v>46255</v>
      </c>
      <c r="K49" s="12" t="n">
        <v>0</v>
      </c>
      <c r="L49" s="14"/>
      <c r="M49" s="14"/>
      <c r="N49" s="12"/>
      <c r="O49" s="12"/>
      <c r="P49" s="15" t="str">
        <f aca="false">IF(M49="","",EDATE(M49,6))</f>
        <v/>
      </c>
      <c r="Q49" s="15" t="n">
        <f aca="false">IF(W49="","",IF(WEEKDAY(W49)=1,W49+1,W49))</f>
        <v>46256</v>
      </c>
      <c r="R49" s="13" t="str">
        <f aca="true">IF(Q49="","",IF(AND(N(K49)&gt;=3,G49&lt;&gt;"Perdido"),"Mover para Perdido",IF(Q49&lt;TODAY(),"Atrasado",IF(Q49=TODAY(),"Hoje","No prazo"))))</f>
        <v>Atrasado</v>
      </c>
      <c r="S49" s="12" t="s">
        <v>111</v>
      </c>
      <c r="T49" s="12"/>
      <c r="U49" s="12"/>
      <c r="V49" s="7" t="s">
        <v>157</v>
      </c>
      <c r="W49" s="15" t="n">
        <f aca="true">IF(G49="","",IF(OR(G49="Novo contato",G49="Em conversa"),IF(J49="",TODAY(),J49+1),IF(G49="Avaliação marcada",IF(L49="",TODAY(),L49-1),IF(G49="Proposta enviada",IF(J49="",TODAY(),J49+2),IF(G49="Fechou pacote",IF(J49="",TODAY(),J49+7),IF(G49="Em tratamento",IF(M49="",TODAY(),IF(TODAY()&lt;=M49+1,M49+1,EDATE(M49,6)-30)),IF(G49="Pós-venda",IF(J49="",TODAY(),J49+7),IF(G49="Perdido",IF(J49="",TODAY(),J49+60),""))))))))</f>
        <v>46256</v>
      </c>
    </row>
    <row r="50" customFormat="false" ht="15" hidden="false" customHeight="false" outlineLevel="0" collapsed="false">
      <c r="A50" s="12" t="s">
        <v>221</v>
      </c>
      <c r="B50" s="12" t="s">
        <v>222</v>
      </c>
      <c r="C50" s="12" t="s">
        <v>57</v>
      </c>
      <c r="D50" s="12"/>
      <c r="E50" s="12" t="s">
        <v>68</v>
      </c>
      <c r="F50" s="13" t="str">
        <f aca="false">IF(OR(E50="",E50="A completar",E50="Ainda não sabe"),"",IF(OR(E50="Limpeza de pele",E50="Peeling de diamante",E50="Microagulhamento"),"Rosto","Corpo"))</f>
        <v/>
      </c>
      <c r="G50" s="12" t="s">
        <v>52</v>
      </c>
      <c r="H50" s="12"/>
      <c r="I50" s="12" t="s">
        <v>97</v>
      </c>
      <c r="J50" s="14" t="n">
        <v>46305</v>
      </c>
      <c r="K50" s="12" t="n">
        <v>0</v>
      </c>
      <c r="L50" s="14"/>
      <c r="M50" s="14"/>
      <c r="N50" s="12"/>
      <c r="O50" s="12"/>
      <c r="P50" s="15" t="str">
        <f aca="false">IF(M50="","",EDATE(M50,6))</f>
        <v/>
      </c>
      <c r="Q50" s="15" t="n">
        <f aca="false">IF(W50="","",IF(WEEKDAY(W50)=1,W50+1,W50))</f>
        <v>46312</v>
      </c>
      <c r="R50" s="13" t="str">
        <f aca="true">IF(Q50="","",IF(AND(N(K50)&gt;=3,G50&lt;&gt;"Perdido"),"Mover para Perdido",IF(Q50&lt;TODAY(),"Atrasado",IF(Q50=TODAY(),"Hoje","No prazo"))))</f>
        <v>No prazo</v>
      </c>
      <c r="S50" s="12" t="s">
        <v>130</v>
      </c>
      <c r="T50" s="12"/>
      <c r="U50" s="12"/>
      <c r="V50" s="7" t="s">
        <v>149</v>
      </c>
      <c r="W50" s="15" t="n">
        <f aca="true">IF(G50="","",IF(OR(G50="Novo contato",G50="Em conversa"),IF(J50="",TODAY(),J50+1),IF(G50="Avaliação marcada",IF(L50="",TODAY(),L50-1),IF(G50="Proposta enviada",IF(J50="",TODAY(),J50+2),IF(G50="Fechou pacote",IF(J50="",TODAY(),J50+7),IF(G50="Em tratamento",IF(M50="",TODAY(),IF(TODAY()&lt;=M50+1,M50+1,EDATE(M50,6)-30)),IF(G50="Pós-venda",IF(J50="",TODAY(),J50+7),IF(G50="Perdido",IF(J50="",TODAY(),J50+60),""))))))))</f>
        <v>46312</v>
      </c>
    </row>
    <row r="51" customFormat="false" ht="15" hidden="false" customHeight="false" outlineLevel="0" collapsed="false">
      <c r="A51" s="12" t="s">
        <v>223</v>
      </c>
      <c r="B51" s="12" t="s">
        <v>224</v>
      </c>
      <c r="C51" s="12" t="s">
        <v>68</v>
      </c>
      <c r="D51" s="12"/>
      <c r="E51" s="12" t="s">
        <v>105</v>
      </c>
      <c r="F51" s="13" t="str">
        <f aca="false">IF(OR(E51="",E51="A completar",E51="Ainda não sabe"),"",IF(OR(E51="Limpeza de pele",E51="Peeling de diamante",E51="Microagulhamento"),"Rosto","Corpo"))</f>
        <v>Rosto</v>
      </c>
      <c r="G51" s="12" t="s">
        <v>46</v>
      </c>
      <c r="H51" s="12"/>
      <c r="I51" s="12" t="s">
        <v>97</v>
      </c>
      <c r="J51" s="14" t="n">
        <v>46296</v>
      </c>
      <c r="K51" s="12" t="n">
        <v>1</v>
      </c>
      <c r="L51" s="14"/>
      <c r="M51" s="14"/>
      <c r="N51" s="12"/>
      <c r="O51" s="12"/>
      <c r="P51" s="15" t="str">
        <f aca="false">IF(M51="","",EDATE(M51,6))</f>
        <v/>
      </c>
      <c r="Q51" s="15" t="n">
        <f aca="false">IF(W51="","",IF(WEEKDAY(W51)=1,W51+1,W51))</f>
        <v>46297</v>
      </c>
      <c r="R51" s="13" t="str">
        <f aca="true">IF(Q51="","",IF(AND(N(K51)&gt;=3,G51&lt;&gt;"Perdido"),"Mover para Perdido",IF(Q51&lt;TODAY(),"Atrasado",IF(Q51=TODAY(),"Hoje","No prazo"))))</f>
        <v>Atrasado</v>
      </c>
      <c r="S51" s="12" t="s">
        <v>111</v>
      </c>
      <c r="T51" s="12"/>
      <c r="U51" s="12"/>
      <c r="V51" s="7" t="s">
        <v>112</v>
      </c>
      <c r="W51" s="15" t="n">
        <f aca="true">IF(G51="","",IF(OR(G51="Novo contato",G51="Em conversa"),IF(J51="",TODAY(),J51+1),IF(G51="Avaliação marcada",IF(L51="",TODAY(),L51-1),IF(G51="Proposta enviada",IF(J51="",TODAY(),J51+2),IF(G51="Fechou pacote",IF(J51="",TODAY(),J51+7),IF(G51="Em tratamento",IF(M51="",TODAY(),IF(TODAY()&lt;=M51+1,M51+1,EDATE(M51,6)-30)),IF(G51="Pós-venda",IF(J51="",TODAY(),J51+7),IF(G51="Perdido",IF(J51="",TODAY(),J51+60),""))))))))</f>
        <v>46297</v>
      </c>
    </row>
    <row r="52" customFormat="false" ht="15" hidden="false" customHeight="false" outlineLevel="0" collapsed="false">
      <c r="A52" s="12" t="s">
        <v>225</v>
      </c>
      <c r="B52" s="12" t="s">
        <v>226</v>
      </c>
      <c r="C52" s="12" t="s">
        <v>62</v>
      </c>
      <c r="D52" s="12"/>
      <c r="E52" s="12" t="s">
        <v>115</v>
      </c>
      <c r="F52" s="13" t="str">
        <f aca="false">IF(OR(E52="",E52="A completar",E52="Ainda não sabe"),"",IF(OR(E52="Limpeza de pele",E52="Peeling de diamante",E52="Microagulhamento"),"Rosto","Corpo"))</f>
        <v>Rosto</v>
      </c>
      <c r="G52" s="12" t="s">
        <v>46</v>
      </c>
      <c r="H52" s="12"/>
      <c r="I52" s="12" t="s">
        <v>97</v>
      </c>
      <c r="J52" s="14" t="n">
        <v>46258</v>
      </c>
      <c r="K52" s="12" t="n">
        <v>1</v>
      </c>
      <c r="L52" s="14"/>
      <c r="M52" s="14"/>
      <c r="N52" s="12"/>
      <c r="O52" s="12"/>
      <c r="P52" s="15" t="str">
        <f aca="false">IF(M52="","",EDATE(M52,6))</f>
        <v/>
      </c>
      <c r="Q52" s="15" t="n">
        <f aca="false">IF(W52="","",IF(WEEKDAY(W52)=1,W52+1,W52))</f>
        <v>46259</v>
      </c>
      <c r="R52" s="13" t="str">
        <f aca="true">IF(Q52="","",IF(AND(N(K52)&gt;=3,G52&lt;&gt;"Perdido"),"Mover para Perdido",IF(Q52&lt;TODAY(),"Atrasado",IF(Q52=TODAY(),"Hoje","No prazo"))))</f>
        <v>Atrasado</v>
      </c>
      <c r="S52" s="12" t="s">
        <v>140</v>
      </c>
      <c r="T52" s="12"/>
      <c r="U52" s="12"/>
      <c r="V52" s="7" t="s">
        <v>102</v>
      </c>
      <c r="W52" s="15" t="n">
        <f aca="true">IF(G52="","",IF(OR(G52="Novo contato",G52="Em conversa"),IF(J52="",TODAY(),J52+1),IF(G52="Avaliação marcada",IF(L52="",TODAY(),L52-1),IF(G52="Proposta enviada",IF(J52="",TODAY(),J52+2),IF(G52="Fechou pacote",IF(J52="",TODAY(),J52+7),IF(G52="Em tratamento",IF(M52="",TODAY(),IF(TODAY()&lt;=M52+1,M52+1,EDATE(M52,6)-30)),IF(G52="Pós-venda",IF(J52="",TODAY(),J52+7),IF(G52="Perdido",IF(J52="",TODAY(),J52+60),""))))))))</f>
        <v>46259</v>
      </c>
    </row>
    <row r="53" customFormat="false" ht="15" hidden="false" customHeight="false" outlineLevel="0" collapsed="false">
      <c r="A53" s="12" t="s">
        <v>227</v>
      </c>
      <c r="B53" s="12" t="s">
        <v>228</v>
      </c>
      <c r="C53" s="12" t="s">
        <v>62</v>
      </c>
      <c r="D53" s="12"/>
      <c r="E53" s="12" t="s">
        <v>101</v>
      </c>
      <c r="F53" s="13" t="str">
        <f aca="false">IF(OR(E53="",E53="A completar",E53="Ainda não sabe"),"",IF(OR(E53="Limpeza de pele",E53="Peeling de diamante",E53="Microagulhamento"),"Rosto","Corpo"))</f>
        <v>Corpo</v>
      </c>
      <c r="G53" s="12" t="s">
        <v>48</v>
      </c>
      <c r="H53" s="12"/>
      <c r="I53" s="12" t="s">
        <v>97</v>
      </c>
      <c r="J53" s="14" t="n">
        <v>46232</v>
      </c>
      <c r="K53" s="12" t="n">
        <v>0</v>
      </c>
      <c r="L53" s="14"/>
      <c r="M53" s="14"/>
      <c r="N53" s="12"/>
      <c r="O53" s="12"/>
      <c r="P53" s="15" t="str">
        <f aca="false">IF(M53="","",EDATE(M53,6))</f>
        <v/>
      </c>
      <c r="Q53" s="15" t="n">
        <f aca="false">IF(W53="","",IF(WEEKDAY(W53)=1,W53+1,W53))</f>
        <v>46309</v>
      </c>
      <c r="R53" s="13" t="str">
        <f aca="true">IF(Q53="","",IF(AND(N(K53)&gt;=3,G53&lt;&gt;"Perdido"),"Mover para Perdido",IF(Q53&lt;TODAY(),"Atrasado",IF(Q53=TODAY(),"Hoje","No prazo"))))</f>
        <v>Hoje</v>
      </c>
      <c r="S53" s="12" t="s">
        <v>106</v>
      </c>
      <c r="T53" s="12"/>
      <c r="U53" s="12"/>
      <c r="V53" s="7" t="s">
        <v>131</v>
      </c>
      <c r="W53" s="15" t="n">
        <f aca="true">IF(G53="","",IF(OR(G53="Novo contato",G53="Em conversa"),IF(J53="",TODAY(),J53+1),IF(G53="Avaliação marcada",IF(L53="",TODAY(),L53-1),IF(G53="Proposta enviada",IF(J53="",TODAY(),J53+2),IF(G53="Fechou pacote",IF(J53="",TODAY(),J53+7),IF(G53="Em tratamento",IF(M53="",TODAY(),IF(TODAY()&lt;=M53+1,M53+1,EDATE(M53,6)-30)),IF(G53="Pós-venda",IF(J53="",TODAY(),J53+7),IF(G53="Perdido",IF(J53="",TODAY(),J53+60),""))))))))</f>
        <v>46309</v>
      </c>
    </row>
    <row r="54" customFormat="false" ht="15" hidden="false" customHeight="false" outlineLevel="0" collapsed="false">
      <c r="A54" s="12" t="s">
        <v>229</v>
      </c>
      <c r="B54" s="12" t="s">
        <v>230</v>
      </c>
      <c r="C54" s="12" t="s">
        <v>62</v>
      </c>
      <c r="D54" s="12" t="s">
        <v>143</v>
      </c>
      <c r="E54" s="12" t="s">
        <v>105</v>
      </c>
      <c r="F54" s="13" t="str">
        <f aca="false">IF(OR(E54="",E54="A completar",E54="Ainda não sabe"),"",IF(OR(E54="Limpeza de pele",E54="Peeling de diamante",E54="Microagulhamento"),"Rosto","Corpo"))</f>
        <v>Rosto</v>
      </c>
      <c r="G54" s="12" t="s">
        <v>50</v>
      </c>
      <c r="H54" s="12"/>
      <c r="I54" s="12" t="s">
        <v>97</v>
      </c>
      <c r="J54" s="14" t="n">
        <v>46272</v>
      </c>
      <c r="K54" s="12" t="n">
        <v>0</v>
      </c>
      <c r="L54" s="14"/>
      <c r="M54" s="14"/>
      <c r="N54" s="12"/>
      <c r="O54" s="12"/>
      <c r="P54" s="15" t="str">
        <f aca="false">IF(M54="","",EDATE(M54,6))</f>
        <v/>
      </c>
      <c r="Q54" s="15" t="n">
        <f aca="false">IF(W54="","",IF(WEEKDAY(W54)=1,W54+1,W54))</f>
        <v>46274</v>
      </c>
      <c r="R54" s="13" t="str">
        <f aca="true">IF(Q54="","",IF(AND(N(K54)&gt;=3,G54&lt;&gt;"Perdido"),"Mover para Perdido",IF(Q54&lt;TODAY(),"Atrasado",IF(Q54=TODAY(),"Hoje","No prazo"))))</f>
        <v>Atrasado</v>
      </c>
      <c r="S54" s="12"/>
      <c r="T54" s="12"/>
      <c r="U54" s="12" t="s">
        <v>183</v>
      </c>
      <c r="V54" s="7" t="s">
        <v>107</v>
      </c>
      <c r="W54" s="15" t="n">
        <f aca="true">IF(G54="","",IF(OR(G54="Novo contato",G54="Em conversa"),IF(J54="",TODAY(),J54+1),IF(G54="Avaliação marcada",IF(L54="",TODAY(),L54-1),IF(G54="Proposta enviada",IF(J54="",TODAY(),J54+2),IF(G54="Fechou pacote",IF(J54="",TODAY(),J54+7),IF(G54="Em tratamento",IF(M54="",TODAY(),IF(TODAY()&lt;=M54+1,M54+1,EDATE(M54,6)-30)),IF(G54="Pós-venda",IF(J54="",TODAY(),J54+7),IF(G54="Perdido",IF(J54="",TODAY(),J54+60),""))))))))</f>
        <v>46274</v>
      </c>
    </row>
    <row r="55" customFormat="false" ht="15" hidden="false" customHeight="false" outlineLevel="0" collapsed="false">
      <c r="A55" s="12" t="s">
        <v>231</v>
      </c>
      <c r="B55" s="12" t="s">
        <v>232</v>
      </c>
      <c r="C55" s="12" t="s">
        <v>62</v>
      </c>
      <c r="D55" s="12"/>
      <c r="E55" s="12" t="s">
        <v>110</v>
      </c>
      <c r="F55" s="13" t="str">
        <f aca="false">IF(OR(E55="",E55="A completar",E55="Ainda não sabe"),"",IF(OR(E55="Limpeza de pele",E55="Peeling de diamante",E55="Microagulhamento"),"Rosto","Corpo"))</f>
        <v>Corpo</v>
      </c>
      <c r="G55" s="12" t="s">
        <v>46</v>
      </c>
      <c r="H55" s="12"/>
      <c r="I55" s="12" t="s">
        <v>97</v>
      </c>
      <c r="J55" s="14" t="n">
        <v>46223</v>
      </c>
      <c r="K55" s="12" t="n">
        <v>1</v>
      </c>
      <c r="L55" s="14"/>
      <c r="M55" s="14"/>
      <c r="N55" s="12"/>
      <c r="O55" s="12"/>
      <c r="P55" s="15" t="str">
        <f aca="false">IF(M55="","",EDATE(M55,6))</f>
        <v/>
      </c>
      <c r="Q55" s="15" t="n">
        <f aca="false">IF(W55="","",IF(WEEKDAY(W55)=1,W55+1,W55))</f>
        <v>46224</v>
      </c>
      <c r="R55" s="13" t="str">
        <f aca="true">IF(Q55="","",IF(AND(N(K55)&gt;=3,G55&lt;&gt;"Perdido"),"Mover para Perdido",IF(Q55&lt;TODAY(),"Atrasado",IF(Q55=TODAY(),"Hoje","No prazo"))))</f>
        <v>Atrasado</v>
      </c>
      <c r="S55" s="12" t="s">
        <v>111</v>
      </c>
      <c r="T55" s="12"/>
      <c r="U55" s="12"/>
      <c r="V55" s="7" t="s">
        <v>102</v>
      </c>
      <c r="W55" s="15" t="n">
        <f aca="true">IF(G55="","",IF(OR(G55="Novo contato",G55="Em conversa"),IF(J55="",TODAY(),J55+1),IF(G55="Avaliação marcada",IF(L55="",TODAY(),L55-1),IF(G55="Proposta enviada",IF(J55="",TODAY(),J55+2),IF(G55="Fechou pacote",IF(J55="",TODAY(),J55+7),IF(G55="Em tratamento",IF(M55="",TODAY(),IF(TODAY()&lt;=M55+1,M55+1,EDATE(M55,6)-30)),IF(G55="Pós-venda",IF(J55="",TODAY(),J55+7),IF(G55="Perdido",IF(J55="",TODAY(),J55+60),""))))))))</f>
        <v>46224</v>
      </c>
    </row>
    <row r="56" customFormat="false" ht="15" hidden="false" customHeight="false" outlineLevel="0" collapsed="false">
      <c r="A56" s="12" t="s">
        <v>233</v>
      </c>
      <c r="B56" s="12" t="s">
        <v>234</v>
      </c>
      <c r="C56" s="12" t="s">
        <v>57</v>
      </c>
      <c r="D56" s="12"/>
      <c r="E56" s="12" t="s">
        <v>96</v>
      </c>
      <c r="F56" s="13" t="str">
        <f aca="false">IF(OR(E56="",E56="A completar",E56="Ainda não sabe"),"",IF(OR(E56="Limpeza de pele",E56="Peeling de diamante",E56="Microagulhamento"),"Rosto","Corpo"))</f>
        <v>Corpo</v>
      </c>
      <c r="G56" s="12" t="s">
        <v>50</v>
      </c>
      <c r="H56" s="12" t="s">
        <v>190</v>
      </c>
      <c r="I56" s="12" t="s">
        <v>97</v>
      </c>
      <c r="J56" s="14"/>
      <c r="K56" s="12" t="n">
        <v>0</v>
      </c>
      <c r="L56" s="14"/>
      <c r="M56" s="14"/>
      <c r="N56" s="12"/>
      <c r="O56" s="12"/>
      <c r="P56" s="15" t="str">
        <f aca="false">IF(M56="","",EDATE(M56,6))</f>
        <v/>
      </c>
      <c r="Q56" s="15" t="n">
        <f aca="false">IF(W56="","",IF(WEEKDAY(W56)=1,W56+1,W56))</f>
        <v>46309</v>
      </c>
      <c r="R56" s="13" t="str">
        <f aca="true">IF(Q56="","",IF(AND(N(K56)&gt;=3,G56&lt;&gt;"Perdido"),"Mover para Perdido",IF(Q56&lt;TODAY(),"Atrasado",IF(Q56=TODAY(),"Hoje","No prazo"))))</f>
        <v>Hoje</v>
      </c>
      <c r="S56" s="12" t="s">
        <v>111</v>
      </c>
      <c r="T56" s="12"/>
      <c r="U56" s="12"/>
      <c r="V56" s="7" t="s">
        <v>190</v>
      </c>
      <c r="W56" s="15" t="n">
        <f aca="true">IF(G56="","",IF(OR(G56="Novo contato",G56="Em conversa"),IF(J56="",TODAY(),J56+1),IF(G56="Avaliação marcada",IF(L56="",TODAY(),L56-1),IF(G56="Proposta enviada",IF(J56="",TODAY(),J56+2),IF(G56="Fechou pacote",IF(J56="",TODAY(),J56+7),IF(G56="Em tratamento",IF(M56="",TODAY(),IF(TODAY()&lt;=M56+1,M56+1,EDATE(M56,6)-30)),IF(G56="Pós-venda",IF(J56="",TODAY(),J56+7),IF(G56="Perdido",IF(J56="",TODAY(),J56+60),""))))))))</f>
        <v>46309</v>
      </c>
    </row>
    <row r="57" customFormat="false" ht="15" hidden="false" customHeight="false" outlineLevel="0" collapsed="false">
      <c r="A57" s="12" t="s">
        <v>235</v>
      </c>
      <c r="B57" s="12" t="s">
        <v>236</v>
      </c>
      <c r="C57" s="12" t="s">
        <v>57</v>
      </c>
      <c r="D57" s="12"/>
      <c r="E57" s="12" t="s">
        <v>101</v>
      </c>
      <c r="F57" s="13" t="str">
        <f aca="false">IF(OR(E57="",E57="A completar",E57="Ainda não sabe"),"",IF(OR(E57="Limpeza de pele",E57="Peeling de diamante",E57="Microagulhamento"),"Rosto","Corpo"))</f>
        <v>Corpo</v>
      </c>
      <c r="G57" s="12" t="s">
        <v>48</v>
      </c>
      <c r="H57" s="12"/>
      <c r="I57" s="12" t="s">
        <v>97</v>
      </c>
      <c r="J57" s="14" t="n">
        <v>46272</v>
      </c>
      <c r="K57" s="12" t="n">
        <v>0</v>
      </c>
      <c r="L57" s="14"/>
      <c r="M57" s="14"/>
      <c r="N57" s="12"/>
      <c r="O57" s="12"/>
      <c r="P57" s="15" t="str">
        <f aca="false">IF(M57="","",EDATE(M57,6))</f>
        <v/>
      </c>
      <c r="Q57" s="15" t="n">
        <f aca="false">IF(W57="","",IF(WEEKDAY(W57)=1,W57+1,W57))</f>
        <v>46309</v>
      </c>
      <c r="R57" s="13" t="str">
        <f aca="true">IF(Q57="","",IF(AND(N(K57)&gt;=3,G57&lt;&gt;"Perdido"),"Mover para Perdido",IF(Q57&lt;TODAY(),"Atrasado",IF(Q57=TODAY(),"Hoje","No prazo"))))</f>
        <v>Hoje</v>
      </c>
      <c r="S57" s="12"/>
      <c r="T57" s="12"/>
      <c r="U57" s="12"/>
      <c r="V57" s="7" t="s">
        <v>127</v>
      </c>
      <c r="W57" s="15" t="n">
        <f aca="true">IF(G57="","",IF(OR(G57="Novo contato",G57="Em conversa"),IF(J57="",TODAY(),J57+1),IF(G57="Avaliação marcada",IF(L57="",TODAY(),L57-1),IF(G57="Proposta enviada",IF(J57="",TODAY(),J57+2),IF(G57="Fechou pacote",IF(J57="",TODAY(),J57+7),IF(G57="Em tratamento",IF(M57="",TODAY(),IF(TODAY()&lt;=M57+1,M57+1,EDATE(M57,6)-30)),IF(G57="Pós-venda",IF(J57="",TODAY(),J57+7),IF(G57="Perdido",IF(J57="",TODAY(),J57+60),""))))))))</f>
        <v>46309</v>
      </c>
    </row>
    <row r="58" customFormat="false" ht="15" hidden="false" customHeight="false" outlineLevel="0" collapsed="false">
      <c r="A58" s="12" t="s">
        <v>237</v>
      </c>
      <c r="B58" s="12" t="s">
        <v>238</v>
      </c>
      <c r="C58" s="12" t="s">
        <v>57</v>
      </c>
      <c r="D58" s="12"/>
      <c r="E58" s="12" t="s">
        <v>152</v>
      </c>
      <c r="F58" s="13" t="str">
        <f aca="false">IF(OR(E58="",E58="A completar",E58="Ainda não sabe"),"",IF(OR(E58="Limpeza de pele",E58="Peeling de diamante",E58="Microagulhamento"),"Rosto","Corpo"))</f>
        <v>Rosto</v>
      </c>
      <c r="G58" s="12" t="s">
        <v>48</v>
      </c>
      <c r="H58" s="12"/>
      <c r="I58" s="12" t="s">
        <v>97</v>
      </c>
      <c r="J58" s="14"/>
      <c r="K58" s="12" t="n">
        <v>0</v>
      </c>
      <c r="L58" s="14"/>
      <c r="M58" s="14"/>
      <c r="N58" s="12"/>
      <c r="O58" s="12"/>
      <c r="P58" s="15" t="str">
        <f aca="false">IF(M58="","",EDATE(M58,6))</f>
        <v/>
      </c>
      <c r="Q58" s="15" t="n">
        <f aca="false">IF(W58="","",IF(WEEKDAY(W58)=1,W58+1,W58))</f>
        <v>46309</v>
      </c>
      <c r="R58" s="13" t="str">
        <f aca="true">IF(Q58="","",IF(AND(N(K58)&gt;=3,G58&lt;&gt;"Perdido"),"Mover para Perdido",IF(Q58&lt;TODAY(),"Atrasado",IF(Q58=TODAY(),"Hoje","No prazo"))))</f>
        <v>Hoje</v>
      </c>
      <c r="S58" s="12"/>
      <c r="T58" s="12"/>
      <c r="U58" s="12"/>
      <c r="V58" s="7" t="s">
        <v>131</v>
      </c>
      <c r="W58" s="15" t="n">
        <f aca="true">IF(G58="","",IF(OR(G58="Novo contato",G58="Em conversa"),IF(J58="",TODAY(),J58+1),IF(G58="Avaliação marcada",IF(L58="",TODAY(),L58-1),IF(G58="Proposta enviada",IF(J58="",TODAY(),J58+2),IF(G58="Fechou pacote",IF(J58="",TODAY(),J58+7),IF(G58="Em tratamento",IF(M58="",TODAY(),IF(TODAY()&lt;=M58+1,M58+1,EDATE(M58,6)-30)),IF(G58="Pós-venda",IF(J58="",TODAY(),J58+7),IF(G58="Perdido",IF(J58="",TODAY(),J58+60),""))))))))</f>
        <v>46309</v>
      </c>
    </row>
    <row r="59" customFormat="false" ht="15" hidden="false" customHeight="false" outlineLevel="0" collapsed="false">
      <c r="A59" s="12" t="s">
        <v>239</v>
      </c>
      <c r="B59" s="12" t="s">
        <v>240</v>
      </c>
      <c r="C59" s="12" t="s">
        <v>57</v>
      </c>
      <c r="D59" s="12"/>
      <c r="E59" s="12" t="s">
        <v>101</v>
      </c>
      <c r="F59" s="13" t="str">
        <f aca="false">IF(OR(E59="",E59="A completar",E59="Ainda não sabe"),"",IF(OR(E59="Limpeza de pele",E59="Peeling de diamante",E59="Microagulhamento"),"Rosto","Corpo"))</f>
        <v>Corpo</v>
      </c>
      <c r="G59" s="12" t="s">
        <v>52</v>
      </c>
      <c r="H59" s="12"/>
      <c r="I59" s="12" t="s">
        <v>97</v>
      </c>
      <c r="J59" s="14" t="n">
        <v>46285</v>
      </c>
      <c r="K59" s="12" t="n">
        <v>0</v>
      </c>
      <c r="L59" s="14"/>
      <c r="M59" s="14"/>
      <c r="N59" s="12"/>
      <c r="O59" s="12"/>
      <c r="P59" s="15" t="str">
        <f aca="false">IF(M59="","",EDATE(M59,6))</f>
        <v/>
      </c>
      <c r="Q59" s="15" t="n">
        <f aca="false">IF(W59="","",IF(WEEKDAY(W59)=1,W59+1,W59))</f>
        <v>46293</v>
      </c>
      <c r="R59" s="13" t="str">
        <f aca="true">IF(Q59="","",IF(AND(N(K59)&gt;=3,G59&lt;&gt;"Perdido"),"Mover para Perdido",IF(Q59&lt;TODAY(),"Atrasado",IF(Q59=TODAY(),"Hoje","No prazo"))))</f>
        <v>Atrasado</v>
      </c>
      <c r="S59" s="12" t="s">
        <v>140</v>
      </c>
      <c r="T59" s="12"/>
      <c r="U59" s="12"/>
      <c r="V59" s="7" t="s">
        <v>149</v>
      </c>
      <c r="W59" s="15" t="n">
        <f aca="true">IF(G59="","",IF(OR(G59="Novo contato",G59="Em conversa"),IF(J59="",TODAY(),J59+1),IF(G59="Avaliação marcada",IF(L59="",TODAY(),L59-1),IF(G59="Proposta enviada",IF(J59="",TODAY(),J59+2),IF(G59="Fechou pacote",IF(J59="",TODAY(),J59+7),IF(G59="Em tratamento",IF(M59="",TODAY(),IF(TODAY()&lt;=M59+1,M59+1,EDATE(M59,6)-30)),IF(G59="Pós-venda",IF(J59="",TODAY(),J59+7),IF(G59="Perdido",IF(J59="",TODAY(),J59+60),""))))))))</f>
        <v>46292</v>
      </c>
    </row>
    <row r="60" customFormat="false" ht="15" hidden="false" customHeight="false" outlineLevel="0" collapsed="false">
      <c r="A60" s="12" t="s">
        <v>241</v>
      </c>
      <c r="B60" s="12" t="s">
        <v>242</v>
      </c>
      <c r="C60" s="12" t="s">
        <v>57</v>
      </c>
      <c r="D60" s="12"/>
      <c r="E60" s="12" t="s">
        <v>105</v>
      </c>
      <c r="F60" s="13" t="str">
        <f aca="false">IF(OR(E60="",E60="A completar",E60="Ainda não sabe"),"",IF(OR(E60="Limpeza de pele",E60="Peeling de diamante",E60="Microagulhamento"),"Rosto","Corpo"))</f>
        <v>Rosto</v>
      </c>
      <c r="G60" s="12" t="s">
        <v>48</v>
      </c>
      <c r="H60" s="12"/>
      <c r="I60" s="12" t="s">
        <v>97</v>
      </c>
      <c r="J60" s="14" t="n">
        <v>46229</v>
      </c>
      <c r="K60" s="12" t="n">
        <v>0</v>
      </c>
      <c r="L60" s="14"/>
      <c r="M60" s="14"/>
      <c r="N60" s="12"/>
      <c r="O60" s="12"/>
      <c r="P60" s="15" t="str">
        <f aca="false">IF(M60="","",EDATE(M60,6))</f>
        <v/>
      </c>
      <c r="Q60" s="15" t="n">
        <f aca="false">IF(W60="","",IF(WEEKDAY(W60)=1,W60+1,W60))</f>
        <v>46309</v>
      </c>
      <c r="R60" s="13" t="str">
        <f aca="true">IF(Q60="","",IF(AND(N(K60)&gt;=3,G60&lt;&gt;"Perdido"),"Mover para Perdido",IF(Q60&lt;TODAY(),"Atrasado",IF(Q60=TODAY(),"Hoje","No prazo"))))</f>
        <v>Hoje</v>
      </c>
      <c r="S60" s="12" t="s">
        <v>130</v>
      </c>
      <c r="T60" s="12"/>
      <c r="U60" s="12"/>
      <c r="V60" s="7" t="s">
        <v>131</v>
      </c>
      <c r="W60" s="15" t="n">
        <f aca="true">IF(G60="","",IF(OR(G60="Novo contato",G60="Em conversa"),IF(J60="",TODAY(),J60+1),IF(G60="Avaliação marcada",IF(L60="",TODAY(),L60-1),IF(G60="Proposta enviada",IF(J60="",TODAY(),J60+2),IF(G60="Fechou pacote",IF(J60="",TODAY(),J60+7),IF(G60="Em tratamento",IF(M60="",TODAY(),IF(TODAY()&lt;=M60+1,M60+1,EDATE(M60,6)-30)),IF(G60="Pós-venda",IF(J60="",TODAY(),J60+7),IF(G60="Perdido",IF(J60="",TODAY(),J60+60),""))))))))</f>
        <v>46309</v>
      </c>
    </row>
    <row r="61" customFormat="false" ht="15" hidden="false" customHeight="false" outlineLevel="0" collapsed="false">
      <c r="A61" s="12" t="s">
        <v>243</v>
      </c>
      <c r="B61" s="12" t="s">
        <v>244</v>
      </c>
      <c r="C61" s="12" t="s">
        <v>62</v>
      </c>
      <c r="D61" s="12"/>
      <c r="E61" s="12" t="s">
        <v>134</v>
      </c>
      <c r="F61" s="13" t="str">
        <f aca="false">IF(OR(E61="",E61="A completar",E61="Ainda não sabe"),"",IF(OR(E61="Limpeza de pele",E61="Peeling de diamante",E61="Microagulhamento"),"Rosto","Corpo"))</f>
        <v>Corpo</v>
      </c>
      <c r="G61" s="12" t="s">
        <v>46</v>
      </c>
      <c r="H61" s="12"/>
      <c r="I61" s="12" t="s">
        <v>97</v>
      </c>
      <c r="J61" s="14" t="n">
        <v>46262</v>
      </c>
      <c r="K61" s="12" t="n">
        <v>0</v>
      </c>
      <c r="L61" s="14"/>
      <c r="M61" s="14"/>
      <c r="N61" s="12"/>
      <c r="O61" s="12"/>
      <c r="P61" s="15" t="str">
        <f aca="false">IF(M61="","",EDATE(M61,6))</f>
        <v/>
      </c>
      <c r="Q61" s="15" t="n">
        <f aca="false">IF(W61="","",IF(WEEKDAY(W61)=1,W61+1,W61))</f>
        <v>46263</v>
      </c>
      <c r="R61" s="13" t="str">
        <f aca="true">IF(Q61="","",IF(AND(N(K61)&gt;=3,G61&lt;&gt;"Perdido"),"Mover para Perdido",IF(Q61&lt;TODAY(),"Atrasado",IF(Q61=TODAY(),"Hoje","No prazo"))))</f>
        <v>Atrasado</v>
      </c>
      <c r="S61" s="12" t="s">
        <v>111</v>
      </c>
      <c r="T61" s="12"/>
      <c r="U61" s="12"/>
      <c r="V61" s="7" t="s">
        <v>124</v>
      </c>
      <c r="W61" s="15" t="n">
        <f aca="true">IF(G61="","",IF(OR(G61="Novo contato",G61="Em conversa"),IF(J61="",TODAY(),J61+1),IF(G61="Avaliação marcada",IF(L61="",TODAY(),L61-1),IF(G61="Proposta enviada",IF(J61="",TODAY(),J61+2),IF(G61="Fechou pacote",IF(J61="",TODAY(),J61+7),IF(G61="Em tratamento",IF(M61="",TODAY(),IF(TODAY()&lt;=M61+1,M61+1,EDATE(M61,6)-30)),IF(G61="Pós-venda",IF(J61="",TODAY(),J61+7),IF(G61="Perdido",IF(J61="",TODAY(),J61+60),""))))))))</f>
        <v>46263</v>
      </c>
    </row>
    <row r="62" customFormat="false" ht="15" hidden="false" customHeight="false" outlineLevel="0" collapsed="false">
      <c r="A62" s="12" t="s">
        <v>245</v>
      </c>
      <c r="B62" s="12" t="s">
        <v>246</v>
      </c>
      <c r="C62" s="12" t="s">
        <v>62</v>
      </c>
      <c r="D62" s="12"/>
      <c r="E62" s="12" t="s">
        <v>105</v>
      </c>
      <c r="F62" s="13" t="str">
        <f aca="false">IF(OR(E62="",E62="A completar",E62="Ainda não sabe"),"",IF(OR(E62="Limpeza de pele",E62="Peeling de diamante",E62="Microagulhamento"),"Rosto","Corpo"))</f>
        <v>Rosto</v>
      </c>
      <c r="G62" s="12" t="s">
        <v>50</v>
      </c>
      <c r="H62" s="12" t="s">
        <v>116</v>
      </c>
      <c r="I62" s="12" t="s">
        <v>97</v>
      </c>
      <c r="J62" s="14" t="n">
        <v>46276</v>
      </c>
      <c r="K62" s="12" t="n">
        <v>0</v>
      </c>
      <c r="L62" s="14"/>
      <c r="M62" s="14"/>
      <c r="N62" s="12"/>
      <c r="O62" s="12"/>
      <c r="P62" s="15" t="str">
        <f aca="false">IF(M62="","",EDATE(M62,6))</f>
        <v/>
      </c>
      <c r="Q62" s="15" t="n">
        <f aca="false">IF(W62="","",IF(WEEKDAY(W62)=1,W62+1,W62))</f>
        <v>46279</v>
      </c>
      <c r="R62" s="13" t="str">
        <f aca="true">IF(Q62="","",IF(AND(N(K62)&gt;=3,G62&lt;&gt;"Perdido"),"Mover para Perdido",IF(Q62&lt;TODAY(),"Atrasado",IF(Q62=TODAY(),"Hoje","No prazo"))))</f>
        <v>Atrasado</v>
      </c>
      <c r="S62" s="12"/>
      <c r="T62" s="12"/>
      <c r="U62" s="12"/>
      <c r="V62" s="7" t="s">
        <v>116</v>
      </c>
      <c r="W62" s="15" t="n">
        <f aca="true">IF(G62="","",IF(OR(G62="Novo contato",G62="Em conversa"),IF(J62="",TODAY(),J62+1),IF(G62="Avaliação marcada",IF(L62="",TODAY(),L62-1),IF(G62="Proposta enviada",IF(J62="",TODAY(),J62+2),IF(G62="Fechou pacote",IF(J62="",TODAY(),J62+7),IF(G62="Em tratamento",IF(M62="",TODAY(),IF(TODAY()&lt;=M62+1,M62+1,EDATE(M62,6)-30)),IF(G62="Pós-venda",IF(J62="",TODAY(),J62+7),IF(G62="Perdido",IF(J62="",TODAY(),J62+60),""))))))))</f>
        <v>46278</v>
      </c>
    </row>
    <row r="63" customFormat="false" ht="15" hidden="false" customHeight="false" outlineLevel="0" collapsed="false">
      <c r="A63" s="12" t="s">
        <v>247</v>
      </c>
      <c r="B63" s="12" t="s">
        <v>248</v>
      </c>
      <c r="C63" s="12" t="s">
        <v>62</v>
      </c>
      <c r="D63" s="12"/>
      <c r="E63" s="12" t="s">
        <v>96</v>
      </c>
      <c r="F63" s="13" t="str">
        <f aca="false">IF(OR(E63="",E63="A completar",E63="Ainda não sabe"),"",IF(OR(E63="Limpeza de pele",E63="Peeling de diamante",E63="Microagulhamento"),"Rosto","Corpo"))</f>
        <v>Corpo</v>
      </c>
      <c r="G63" s="12" t="s">
        <v>48</v>
      </c>
      <c r="H63" s="12"/>
      <c r="I63" s="12" t="s">
        <v>97</v>
      </c>
      <c r="J63" s="14"/>
      <c r="K63" s="12" t="n">
        <v>0</v>
      </c>
      <c r="L63" s="14"/>
      <c r="M63" s="14"/>
      <c r="N63" s="12"/>
      <c r="O63" s="12"/>
      <c r="P63" s="15" t="str">
        <f aca="false">IF(M63="","",EDATE(M63,6))</f>
        <v/>
      </c>
      <c r="Q63" s="15" t="n">
        <f aca="false">IF(W63="","",IF(WEEKDAY(W63)=1,W63+1,W63))</f>
        <v>46309</v>
      </c>
      <c r="R63" s="13" t="str">
        <f aca="true">IF(Q63="","",IF(AND(N(K63)&gt;=3,G63&lt;&gt;"Perdido"),"Mover para Perdido",IF(Q63&lt;TODAY(),"Atrasado",IF(Q63=TODAY(),"Hoje","No prazo"))))</f>
        <v>Hoje</v>
      </c>
      <c r="S63" s="12" t="s">
        <v>140</v>
      </c>
      <c r="T63" s="12"/>
      <c r="U63" s="12"/>
      <c r="V63" s="7" t="s">
        <v>98</v>
      </c>
      <c r="W63" s="15" t="n">
        <f aca="true">IF(G63="","",IF(OR(G63="Novo contato",G63="Em conversa"),IF(J63="",TODAY(),J63+1),IF(G63="Avaliação marcada",IF(L63="",TODAY(),L63-1),IF(G63="Proposta enviada",IF(J63="",TODAY(),J63+2),IF(G63="Fechou pacote",IF(J63="",TODAY(),J63+7),IF(G63="Em tratamento",IF(M63="",TODAY(),IF(TODAY()&lt;=M63+1,M63+1,EDATE(M63,6)-30)),IF(G63="Pós-venda",IF(J63="",TODAY(),J63+7),IF(G63="Perdido",IF(J63="",TODAY(),J63+60),""))))))))</f>
        <v>46309</v>
      </c>
    </row>
    <row r="64" customFormat="false" ht="15" hidden="false" customHeight="false" outlineLevel="0" collapsed="false">
      <c r="A64" s="12" t="s">
        <v>249</v>
      </c>
      <c r="B64" s="12" t="s">
        <v>250</v>
      </c>
      <c r="C64" s="12" t="s">
        <v>59</v>
      </c>
      <c r="D64" s="12"/>
      <c r="E64" s="12" t="s">
        <v>105</v>
      </c>
      <c r="F64" s="13" t="str">
        <f aca="false">IF(OR(E64="",E64="A completar",E64="Ainda não sabe"),"",IF(OR(E64="Limpeza de pele",E64="Peeling de diamante",E64="Microagulhamento"),"Rosto","Corpo"))</f>
        <v>Rosto</v>
      </c>
      <c r="G64" s="12" t="s">
        <v>46</v>
      </c>
      <c r="H64" s="12"/>
      <c r="I64" s="12" t="s">
        <v>97</v>
      </c>
      <c r="J64" s="14"/>
      <c r="K64" s="12" t="n">
        <v>0</v>
      </c>
      <c r="L64" s="14"/>
      <c r="M64" s="14"/>
      <c r="N64" s="12"/>
      <c r="O64" s="12"/>
      <c r="P64" s="15" t="str">
        <f aca="false">IF(M64="","",EDATE(M64,6))</f>
        <v/>
      </c>
      <c r="Q64" s="15" t="n">
        <f aca="false">IF(W64="","",IF(WEEKDAY(W64)=1,W64+1,W64))</f>
        <v>46309</v>
      </c>
      <c r="R64" s="13" t="str">
        <f aca="true">IF(Q64="","",IF(AND(N(K64)&gt;=3,G64&lt;&gt;"Perdido"),"Mover para Perdido",IF(Q64&lt;TODAY(),"Atrasado",IF(Q64=TODAY(),"Hoje","No prazo"))))</f>
        <v>Hoje</v>
      </c>
      <c r="S64" s="12" t="s">
        <v>140</v>
      </c>
      <c r="T64" s="12"/>
      <c r="U64" s="12"/>
      <c r="V64" s="7" t="s">
        <v>157</v>
      </c>
      <c r="W64" s="15" t="n">
        <f aca="true">IF(G64="","",IF(OR(G64="Novo contato",G64="Em conversa"),IF(J64="",TODAY(),J64+1),IF(G64="Avaliação marcada",IF(L64="",TODAY(),L64-1),IF(G64="Proposta enviada",IF(J64="",TODAY(),J64+2),IF(G64="Fechou pacote",IF(J64="",TODAY(),J64+7),IF(G64="Em tratamento",IF(M64="",TODAY(),IF(TODAY()&lt;=M64+1,M64+1,EDATE(M64,6)-30)),IF(G64="Pós-venda",IF(J64="",TODAY(),J64+7),IF(G64="Perdido",IF(J64="",TODAY(),J64+60),""))))))))</f>
        <v>46309</v>
      </c>
    </row>
    <row r="65" customFormat="false" ht="15" hidden="false" customHeight="false" outlineLevel="0" collapsed="false">
      <c r="A65" s="12" t="s">
        <v>251</v>
      </c>
      <c r="B65" s="12" t="s">
        <v>252</v>
      </c>
      <c r="C65" s="12" t="s">
        <v>62</v>
      </c>
      <c r="D65" s="12"/>
      <c r="E65" s="12" t="s">
        <v>68</v>
      </c>
      <c r="F65" s="13" t="str">
        <f aca="false">IF(OR(E65="",E65="A completar",E65="Ainda não sabe"),"",IF(OR(E65="Limpeza de pele",E65="Peeling de diamante",E65="Microagulhamento"),"Rosto","Corpo"))</f>
        <v/>
      </c>
      <c r="G65" s="12" t="s">
        <v>52</v>
      </c>
      <c r="H65" s="12"/>
      <c r="I65" s="12" t="s">
        <v>97</v>
      </c>
      <c r="J65" s="14" t="n">
        <v>46292</v>
      </c>
      <c r="K65" s="12" t="n">
        <v>0</v>
      </c>
      <c r="L65" s="14"/>
      <c r="M65" s="14"/>
      <c r="N65" s="12"/>
      <c r="O65" s="12"/>
      <c r="P65" s="15" t="str">
        <f aca="false">IF(M65="","",EDATE(M65,6))</f>
        <v/>
      </c>
      <c r="Q65" s="15" t="n">
        <f aca="false">IF(W65="","",IF(WEEKDAY(W65)=1,W65+1,W65))</f>
        <v>46300</v>
      </c>
      <c r="R65" s="13" t="str">
        <f aca="true">IF(Q65="","",IF(AND(N(K65)&gt;=3,G65&lt;&gt;"Perdido"),"Mover para Perdido",IF(Q65&lt;TODAY(),"Atrasado",IF(Q65=TODAY(),"Hoje","No prazo"))))</f>
        <v>Atrasado</v>
      </c>
      <c r="S65" s="12" t="s">
        <v>121</v>
      </c>
      <c r="T65" s="12"/>
      <c r="U65" s="12"/>
      <c r="V65" s="7" t="s">
        <v>149</v>
      </c>
      <c r="W65" s="15" t="n">
        <f aca="true">IF(G65="","",IF(OR(G65="Novo contato",G65="Em conversa"),IF(J65="",TODAY(),J65+1),IF(G65="Avaliação marcada",IF(L65="",TODAY(),L65-1),IF(G65="Proposta enviada",IF(J65="",TODAY(),J65+2),IF(G65="Fechou pacote",IF(J65="",TODAY(),J65+7),IF(G65="Em tratamento",IF(M65="",TODAY(),IF(TODAY()&lt;=M65+1,M65+1,EDATE(M65,6)-30)),IF(G65="Pós-venda",IF(J65="",TODAY(),J65+7),IF(G65="Perdido",IF(J65="",TODAY(),J65+60),""))))))))</f>
        <v>46299</v>
      </c>
    </row>
    <row r="66" customFormat="false" ht="15" hidden="false" customHeight="false" outlineLevel="0" collapsed="false">
      <c r="A66" s="12" t="s">
        <v>253</v>
      </c>
      <c r="B66" s="12" t="s">
        <v>254</v>
      </c>
      <c r="C66" s="12" t="s">
        <v>57</v>
      </c>
      <c r="D66" s="12"/>
      <c r="E66" s="12" t="s">
        <v>105</v>
      </c>
      <c r="F66" s="13" t="str">
        <f aca="false">IF(OR(E66="",E66="A completar",E66="Ainda não sabe"),"",IF(OR(E66="Limpeza de pele",E66="Peeling de diamante",E66="Microagulhamento"),"Rosto","Corpo"))</f>
        <v>Rosto</v>
      </c>
      <c r="G66" s="12" t="s">
        <v>50</v>
      </c>
      <c r="H66" s="12"/>
      <c r="I66" s="12" t="s">
        <v>97</v>
      </c>
      <c r="J66" s="14"/>
      <c r="K66" s="12" t="n">
        <v>0</v>
      </c>
      <c r="L66" s="14"/>
      <c r="M66" s="14"/>
      <c r="N66" s="12"/>
      <c r="O66" s="12"/>
      <c r="P66" s="15" t="str">
        <f aca="false">IF(M66="","",EDATE(M66,6))</f>
        <v/>
      </c>
      <c r="Q66" s="15" t="n">
        <f aca="false">IF(W66="","",IF(WEEKDAY(W66)=1,W66+1,W66))</f>
        <v>46309</v>
      </c>
      <c r="R66" s="13" t="str">
        <f aca="true">IF(Q66="","",IF(AND(N(K66)&gt;=3,G66&lt;&gt;"Perdido"),"Mover para Perdido",IF(Q66&lt;TODAY(),"Atrasado",IF(Q66=TODAY(),"Hoje","No prazo"))))</f>
        <v>Hoje</v>
      </c>
      <c r="S66" s="12" t="s">
        <v>106</v>
      </c>
      <c r="T66" s="12"/>
      <c r="U66" s="12"/>
      <c r="V66" s="7" t="s">
        <v>107</v>
      </c>
      <c r="W66" s="15" t="n">
        <f aca="true">IF(G66="","",IF(OR(G66="Novo contato",G66="Em conversa"),IF(J66="",TODAY(),J66+1),IF(G66="Avaliação marcada",IF(L66="",TODAY(),L66-1),IF(G66="Proposta enviada",IF(J66="",TODAY(),J66+2),IF(G66="Fechou pacote",IF(J66="",TODAY(),J66+7),IF(G66="Em tratamento",IF(M66="",TODAY(),IF(TODAY()&lt;=M66+1,M66+1,EDATE(M66,6)-30)),IF(G66="Pós-venda",IF(J66="",TODAY(),J66+7),IF(G66="Perdido",IF(J66="",TODAY(),J66+60),""))))))))</f>
        <v>46309</v>
      </c>
    </row>
    <row r="67" customFormat="false" ht="15" hidden="false" customHeight="false" outlineLevel="0" collapsed="false">
      <c r="A67" s="12" t="s">
        <v>255</v>
      </c>
      <c r="B67" s="12" t="s">
        <v>256</v>
      </c>
      <c r="C67" s="12" t="s">
        <v>57</v>
      </c>
      <c r="D67" s="12"/>
      <c r="E67" s="12" t="s">
        <v>96</v>
      </c>
      <c r="F67" s="13" t="str">
        <f aca="false">IF(OR(E67="",E67="A completar",E67="Ainda não sabe"),"",IF(OR(E67="Limpeza de pele",E67="Peeling de diamante",E67="Microagulhamento"),"Rosto","Corpo"))</f>
        <v>Corpo</v>
      </c>
      <c r="G67" s="12" t="s">
        <v>48</v>
      </c>
      <c r="H67" s="12"/>
      <c r="I67" s="12" t="s">
        <v>97</v>
      </c>
      <c r="J67" s="14" t="n">
        <v>46224</v>
      </c>
      <c r="K67" s="12" t="n">
        <v>0</v>
      </c>
      <c r="L67" s="14"/>
      <c r="M67" s="14"/>
      <c r="N67" s="12"/>
      <c r="O67" s="12"/>
      <c r="P67" s="15" t="str">
        <f aca="false">IF(M67="","",EDATE(M67,6))</f>
        <v/>
      </c>
      <c r="Q67" s="15" t="n">
        <f aca="false">IF(W67="","",IF(WEEKDAY(W67)=1,W67+1,W67))</f>
        <v>46309</v>
      </c>
      <c r="R67" s="13" t="str">
        <f aca="true">IF(Q67="","",IF(AND(N(K67)&gt;=3,G67&lt;&gt;"Perdido"),"Mover para Perdido",IF(Q67&lt;TODAY(),"Atrasado",IF(Q67=TODAY(),"Hoje","No prazo"))))</f>
        <v>Hoje</v>
      </c>
      <c r="S67" s="12" t="s">
        <v>121</v>
      </c>
      <c r="T67" s="12"/>
      <c r="U67" s="12"/>
      <c r="V67" s="7" t="s">
        <v>98</v>
      </c>
      <c r="W67" s="15" t="n">
        <f aca="true">IF(G67="","",IF(OR(G67="Novo contato",G67="Em conversa"),IF(J67="",TODAY(),J67+1),IF(G67="Avaliação marcada",IF(L67="",TODAY(),L67-1),IF(G67="Proposta enviada",IF(J67="",TODAY(),J67+2),IF(G67="Fechou pacote",IF(J67="",TODAY(),J67+7),IF(G67="Em tratamento",IF(M67="",TODAY(),IF(TODAY()&lt;=M67+1,M67+1,EDATE(M67,6)-30)),IF(G67="Pós-venda",IF(J67="",TODAY(),J67+7),IF(G67="Perdido",IF(J67="",TODAY(),J67+60),""))))))))</f>
        <v>46309</v>
      </c>
    </row>
    <row r="68" customFormat="false" ht="15" hidden="false" customHeight="false" outlineLevel="0" collapsed="false">
      <c r="A68" s="12" t="s">
        <v>257</v>
      </c>
      <c r="B68" s="12" t="s">
        <v>258</v>
      </c>
      <c r="C68" s="12" t="s">
        <v>57</v>
      </c>
      <c r="D68" s="12"/>
      <c r="E68" s="12" t="s">
        <v>115</v>
      </c>
      <c r="F68" s="13" t="str">
        <f aca="false">IF(OR(E68="",E68="A completar",E68="Ainda não sabe"),"",IF(OR(E68="Limpeza de pele",E68="Peeling de diamante",E68="Microagulhamento"),"Rosto","Corpo"))</f>
        <v>Rosto</v>
      </c>
      <c r="G68" s="12" t="s">
        <v>52</v>
      </c>
      <c r="H68" s="12"/>
      <c r="I68" s="12" t="s">
        <v>97</v>
      </c>
      <c r="J68" s="14" t="n">
        <v>46242</v>
      </c>
      <c r="K68" s="12" t="n">
        <v>0</v>
      </c>
      <c r="L68" s="14"/>
      <c r="M68" s="14"/>
      <c r="N68" s="12"/>
      <c r="O68" s="12"/>
      <c r="P68" s="15" t="str">
        <f aca="false">IF(M68="","",EDATE(M68,6))</f>
        <v/>
      </c>
      <c r="Q68" s="15" t="n">
        <f aca="false">IF(W68="","",IF(WEEKDAY(W68)=1,W68+1,W68))</f>
        <v>46249</v>
      </c>
      <c r="R68" s="13" t="str">
        <f aca="true">IF(Q68="","",IF(AND(N(K68)&gt;=3,G68&lt;&gt;"Perdido"),"Mover para Perdido",IF(Q68&lt;TODAY(),"Atrasado",IF(Q68=TODAY(),"Hoje","No prazo"))))</f>
        <v>Atrasado</v>
      </c>
      <c r="S68" s="12" t="s">
        <v>121</v>
      </c>
      <c r="T68" s="12"/>
      <c r="U68" s="12"/>
      <c r="V68" s="7" t="s">
        <v>149</v>
      </c>
      <c r="W68" s="15" t="n">
        <f aca="true">IF(G68="","",IF(OR(G68="Novo contato",G68="Em conversa"),IF(J68="",TODAY(),J68+1),IF(G68="Avaliação marcada",IF(L68="",TODAY(),L68-1),IF(G68="Proposta enviada",IF(J68="",TODAY(),J68+2),IF(G68="Fechou pacote",IF(J68="",TODAY(),J68+7),IF(G68="Em tratamento",IF(M68="",TODAY(),IF(TODAY()&lt;=M68+1,M68+1,EDATE(M68,6)-30)),IF(G68="Pós-venda",IF(J68="",TODAY(),J68+7),IF(G68="Perdido",IF(J68="",TODAY(),J68+60),""))))))))</f>
        <v>46249</v>
      </c>
    </row>
    <row r="69" customFormat="false" ht="15" hidden="false" customHeight="false" outlineLevel="0" collapsed="false">
      <c r="A69" s="12" t="s">
        <v>259</v>
      </c>
      <c r="B69" s="12" t="s">
        <v>260</v>
      </c>
      <c r="C69" s="12" t="s">
        <v>57</v>
      </c>
      <c r="D69" s="12"/>
      <c r="E69" s="12" t="s">
        <v>96</v>
      </c>
      <c r="F69" s="13" t="str">
        <f aca="false">IF(OR(E69="",E69="A completar",E69="Ainda não sabe"),"",IF(OR(E69="Limpeza de pele",E69="Peeling de diamante",E69="Microagulhamento"),"Rosto","Corpo"))</f>
        <v>Corpo</v>
      </c>
      <c r="G69" s="12" t="s">
        <v>46</v>
      </c>
      <c r="H69" s="12"/>
      <c r="I69" s="12" t="s">
        <v>97</v>
      </c>
      <c r="J69" s="14" t="n">
        <v>46267</v>
      </c>
      <c r="K69" s="12" t="n">
        <v>0</v>
      </c>
      <c r="L69" s="14"/>
      <c r="M69" s="14"/>
      <c r="N69" s="12"/>
      <c r="O69" s="12"/>
      <c r="P69" s="15" t="str">
        <f aca="false">IF(M69="","",EDATE(M69,6))</f>
        <v/>
      </c>
      <c r="Q69" s="15" t="n">
        <f aca="false">IF(W69="","",IF(WEEKDAY(W69)=1,W69+1,W69))</f>
        <v>46268</v>
      </c>
      <c r="R69" s="13" t="str">
        <f aca="true">IF(Q69="","",IF(AND(N(K69)&gt;=3,G69&lt;&gt;"Perdido"),"Mover para Perdido",IF(Q69&lt;TODAY(),"Atrasado",IF(Q69=TODAY(),"Hoje","No prazo"))))</f>
        <v>Atrasado</v>
      </c>
      <c r="S69" s="12"/>
      <c r="T69" s="12"/>
      <c r="U69" s="12"/>
      <c r="V69" s="7" t="s">
        <v>124</v>
      </c>
      <c r="W69" s="15" t="n">
        <f aca="true">IF(G69="","",IF(OR(G69="Novo contato",G69="Em conversa"),IF(J69="",TODAY(),J69+1),IF(G69="Avaliação marcada",IF(L69="",TODAY(),L69-1),IF(G69="Proposta enviada",IF(J69="",TODAY(),J69+2),IF(G69="Fechou pacote",IF(J69="",TODAY(),J69+7),IF(G69="Em tratamento",IF(M69="",TODAY(),IF(TODAY()&lt;=M69+1,M69+1,EDATE(M69,6)-30)),IF(G69="Pós-venda",IF(J69="",TODAY(),J69+7),IF(G69="Perdido",IF(J69="",TODAY(),J69+60),""))))))))</f>
        <v>46268</v>
      </c>
    </row>
    <row r="70" customFormat="false" ht="15" hidden="false" customHeight="false" outlineLevel="0" collapsed="false">
      <c r="A70" s="12" t="s">
        <v>261</v>
      </c>
      <c r="B70" s="12" t="s">
        <v>262</v>
      </c>
      <c r="C70" s="12" t="s">
        <v>68</v>
      </c>
      <c r="D70" s="12"/>
      <c r="E70" s="12" t="s">
        <v>105</v>
      </c>
      <c r="F70" s="13" t="str">
        <f aca="false">IF(OR(E70="",E70="A completar",E70="Ainda não sabe"),"",IF(OR(E70="Limpeza de pele",E70="Peeling de diamante",E70="Microagulhamento"),"Rosto","Corpo"))</f>
        <v>Rosto</v>
      </c>
      <c r="G70" s="12" t="s">
        <v>46</v>
      </c>
      <c r="H70" s="12"/>
      <c r="I70" s="12" t="s">
        <v>97</v>
      </c>
      <c r="J70" s="14" t="n">
        <v>46303</v>
      </c>
      <c r="K70" s="12" t="n">
        <v>1</v>
      </c>
      <c r="L70" s="14"/>
      <c r="M70" s="14"/>
      <c r="N70" s="12"/>
      <c r="O70" s="12"/>
      <c r="P70" s="15" t="str">
        <f aca="false">IF(M70="","",EDATE(M70,6))</f>
        <v/>
      </c>
      <c r="Q70" s="15" t="n">
        <f aca="false">IF(W70="","",IF(WEEKDAY(W70)=1,W70+1,W70))</f>
        <v>46304</v>
      </c>
      <c r="R70" s="13" t="str">
        <f aca="true">IF(Q70="","",IF(AND(N(K70)&gt;=3,G70&lt;&gt;"Perdido"),"Mover para Perdido",IF(Q70&lt;TODAY(),"Atrasado",IF(Q70=TODAY(),"Hoje","No prazo"))))</f>
        <v>Atrasado</v>
      </c>
      <c r="S70" s="12" t="s">
        <v>130</v>
      </c>
      <c r="T70" s="12"/>
      <c r="U70" s="12"/>
      <c r="V70" s="7" t="s">
        <v>112</v>
      </c>
      <c r="W70" s="15" t="n">
        <f aca="true">IF(G70="","",IF(OR(G70="Novo contato",G70="Em conversa"),IF(J70="",TODAY(),J70+1),IF(G70="Avaliação marcada",IF(L70="",TODAY(),L70-1),IF(G70="Proposta enviada",IF(J70="",TODAY(),J70+2),IF(G70="Fechou pacote",IF(J70="",TODAY(),J70+7),IF(G70="Em tratamento",IF(M70="",TODAY(),IF(TODAY()&lt;=M70+1,M70+1,EDATE(M70,6)-30)),IF(G70="Pós-venda",IF(J70="",TODAY(),J70+7),IF(G70="Perdido",IF(J70="",TODAY(),J70+60),""))))))))</f>
        <v>46304</v>
      </c>
    </row>
    <row r="71" customFormat="false" ht="15" hidden="false" customHeight="false" outlineLevel="0" collapsed="false">
      <c r="A71" s="12" t="s">
        <v>263</v>
      </c>
      <c r="B71" s="12" t="s">
        <v>264</v>
      </c>
      <c r="C71" s="12" t="s">
        <v>68</v>
      </c>
      <c r="D71" s="12"/>
      <c r="E71" s="12" t="s">
        <v>101</v>
      </c>
      <c r="F71" s="13" t="str">
        <f aca="false">IF(OR(E71="",E71="A completar",E71="Ainda não sabe"),"",IF(OR(E71="Limpeza de pele",E71="Peeling de diamante",E71="Microagulhamento"),"Rosto","Corpo"))</f>
        <v>Corpo</v>
      </c>
      <c r="G71" s="12" t="s">
        <v>46</v>
      </c>
      <c r="H71" s="12"/>
      <c r="I71" s="12" t="s">
        <v>97</v>
      </c>
      <c r="J71" s="14" t="n">
        <v>46293</v>
      </c>
      <c r="K71" s="12" t="n">
        <v>1</v>
      </c>
      <c r="L71" s="14"/>
      <c r="M71" s="14"/>
      <c r="N71" s="12"/>
      <c r="O71" s="12"/>
      <c r="P71" s="15" t="str">
        <f aca="false">IF(M71="","",EDATE(M71,6))</f>
        <v/>
      </c>
      <c r="Q71" s="15" t="n">
        <f aca="false">IF(W71="","",IF(WEEKDAY(W71)=1,W71+1,W71))</f>
        <v>46294</v>
      </c>
      <c r="R71" s="13" t="str">
        <f aca="true">IF(Q71="","",IF(AND(N(K71)&gt;=3,G71&lt;&gt;"Perdido"),"Mover para Perdido",IF(Q71&lt;TODAY(),"Atrasado",IF(Q71=TODAY(),"Hoje","No prazo"))))</f>
        <v>Atrasado</v>
      </c>
      <c r="S71" s="12" t="s">
        <v>130</v>
      </c>
      <c r="T71" s="12"/>
      <c r="U71" s="12"/>
      <c r="V71" s="7" t="s">
        <v>102</v>
      </c>
      <c r="W71" s="15" t="n">
        <f aca="true">IF(G71="","",IF(OR(G71="Novo contato",G71="Em conversa"),IF(J71="",TODAY(),J71+1),IF(G71="Avaliação marcada",IF(L71="",TODAY(),L71-1),IF(G71="Proposta enviada",IF(J71="",TODAY(),J71+2),IF(G71="Fechou pacote",IF(J71="",TODAY(),J71+7),IF(G71="Em tratamento",IF(M71="",TODAY(),IF(TODAY()&lt;=M71+1,M71+1,EDATE(M71,6)-30)),IF(G71="Pós-venda",IF(J71="",TODAY(),J71+7),IF(G71="Perdido",IF(J71="",TODAY(),J71+60),""))))))))</f>
        <v>46294</v>
      </c>
    </row>
    <row r="72" customFormat="false" ht="15" hidden="false" customHeight="false" outlineLevel="0" collapsed="false">
      <c r="A72" s="12" t="s">
        <v>265</v>
      </c>
      <c r="B72" s="12" t="s">
        <v>266</v>
      </c>
      <c r="C72" s="12" t="s">
        <v>62</v>
      </c>
      <c r="D72" s="12" t="s">
        <v>143</v>
      </c>
      <c r="E72" s="12" t="s">
        <v>105</v>
      </c>
      <c r="F72" s="13" t="str">
        <f aca="false">IF(OR(E72="",E72="A completar",E72="Ainda não sabe"),"",IF(OR(E72="Limpeza de pele",E72="Peeling de diamante",E72="Microagulhamento"),"Rosto","Corpo"))</f>
        <v>Rosto</v>
      </c>
      <c r="G72" s="12" t="s">
        <v>44</v>
      </c>
      <c r="H72" s="12"/>
      <c r="I72" s="12" t="s">
        <v>97</v>
      </c>
      <c r="J72" s="14" t="n">
        <v>46266</v>
      </c>
      <c r="K72" s="12" t="n">
        <v>0</v>
      </c>
      <c r="L72" s="14"/>
      <c r="M72" s="14"/>
      <c r="N72" s="12"/>
      <c r="O72" s="12"/>
      <c r="P72" s="15" t="str">
        <f aca="false">IF(M72="","",EDATE(M72,6))</f>
        <v/>
      </c>
      <c r="Q72" s="15" t="n">
        <f aca="false">IF(W72="","",IF(WEEKDAY(W72)=1,W72+1,W72))</f>
        <v>46267</v>
      </c>
      <c r="R72" s="13" t="str">
        <f aca="true">IF(Q72="","",IF(AND(N(K72)&gt;=3,G72&lt;&gt;"Perdido"),"Mover para Perdido",IF(Q72&lt;TODAY(),"Atrasado",IF(Q72=TODAY(),"Hoje","No prazo"))))</f>
        <v>Atrasado</v>
      </c>
      <c r="S72" s="12"/>
      <c r="T72" s="12"/>
      <c r="U72" s="12"/>
      <c r="V72" s="7" t="s">
        <v>137</v>
      </c>
      <c r="W72" s="15" t="n">
        <f aca="true">IF(G72="","",IF(OR(G72="Novo contato",G72="Em conversa"),IF(J72="",TODAY(),J72+1),IF(G72="Avaliação marcada",IF(L72="",TODAY(),L72-1),IF(G72="Proposta enviada",IF(J72="",TODAY(),J72+2),IF(G72="Fechou pacote",IF(J72="",TODAY(),J72+7),IF(G72="Em tratamento",IF(M72="",TODAY(),IF(TODAY()&lt;=M72+1,M72+1,EDATE(M72,6)-30)),IF(G72="Pós-venda",IF(J72="",TODAY(),J72+7),IF(G72="Perdido",IF(J72="",TODAY(),J72+60),""))))))))</f>
        <v>46267</v>
      </c>
    </row>
    <row r="73" customFormat="false" ht="15" hidden="false" customHeight="false" outlineLevel="0" collapsed="false">
      <c r="A73" s="12" t="s">
        <v>267</v>
      </c>
      <c r="B73" s="12" t="s">
        <v>268</v>
      </c>
      <c r="C73" s="12" t="s">
        <v>57</v>
      </c>
      <c r="D73" s="12"/>
      <c r="E73" s="12" t="s">
        <v>68</v>
      </c>
      <c r="F73" s="13" t="str">
        <f aca="false">IF(OR(E73="",E73="A completar",E73="Ainda não sabe"),"",IF(OR(E73="Limpeza de pele",E73="Peeling de diamante",E73="Microagulhamento"),"Rosto","Corpo"))</f>
        <v/>
      </c>
      <c r="G73" s="12" t="s">
        <v>46</v>
      </c>
      <c r="H73" s="12"/>
      <c r="I73" s="12" t="s">
        <v>97</v>
      </c>
      <c r="J73" s="14" t="n">
        <v>46274</v>
      </c>
      <c r="K73" s="12" t="n">
        <v>1</v>
      </c>
      <c r="L73" s="14"/>
      <c r="M73" s="14"/>
      <c r="N73" s="12"/>
      <c r="O73" s="12"/>
      <c r="P73" s="15" t="str">
        <f aca="false">IF(M73="","",EDATE(M73,6))</f>
        <v/>
      </c>
      <c r="Q73" s="15" t="n">
        <f aca="false">IF(W73="","",IF(WEEKDAY(W73)=1,W73+1,W73))</f>
        <v>46275</v>
      </c>
      <c r="R73" s="13" t="str">
        <f aca="true">IF(Q73="","",IF(AND(N(K73)&gt;=3,G73&lt;&gt;"Perdido"),"Mover para Perdido",IF(Q73&lt;TODAY(),"Atrasado",IF(Q73=TODAY(),"Hoje","No prazo"))))</f>
        <v>Atrasado</v>
      </c>
      <c r="S73" s="12"/>
      <c r="T73" s="12"/>
      <c r="U73" s="12"/>
      <c r="V73" s="7" t="s">
        <v>112</v>
      </c>
      <c r="W73" s="15" t="n">
        <f aca="true">IF(G73="","",IF(OR(G73="Novo contato",G73="Em conversa"),IF(J73="",TODAY(),J73+1),IF(G73="Avaliação marcada",IF(L73="",TODAY(),L73-1),IF(G73="Proposta enviada",IF(J73="",TODAY(),J73+2),IF(G73="Fechou pacote",IF(J73="",TODAY(),J73+7),IF(G73="Em tratamento",IF(M73="",TODAY(),IF(TODAY()&lt;=M73+1,M73+1,EDATE(M73,6)-30)),IF(G73="Pós-venda",IF(J73="",TODAY(),J73+7),IF(G73="Perdido",IF(J73="",TODAY(),J73+60),""))))))))</f>
        <v>46275</v>
      </c>
    </row>
    <row r="74" customFormat="false" ht="15" hidden="false" customHeight="false" outlineLevel="0" collapsed="false">
      <c r="A74" s="12" t="s">
        <v>269</v>
      </c>
      <c r="B74" s="12" t="s">
        <v>270</v>
      </c>
      <c r="C74" s="12" t="s">
        <v>59</v>
      </c>
      <c r="D74" s="12"/>
      <c r="E74" s="12" t="s">
        <v>96</v>
      </c>
      <c r="F74" s="13" t="str">
        <f aca="false">IF(OR(E74="",E74="A completar",E74="Ainda não sabe"),"",IF(OR(E74="Limpeza de pele",E74="Peeling de diamante",E74="Microagulhamento"),"Rosto","Corpo"))</f>
        <v>Corpo</v>
      </c>
      <c r="G74" s="12" t="s">
        <v>44</v>
      </c>
      <c r="H74" s="12"/>
      <c r="I74" s="12" t="s">
        <v>97</v>
      </c>
      <c r="J74" s="14" t="n">
        <v>46291</v>
      </c>
      <c r="K74" s="12" t="n">
        <v>0</v>
      </c>
      <c r="L74" s="14"/>
      <c r="M74" s="14"/>
      <c r="N74" s="12"/>
      <c r="O74" s="12"/>
      <c r="P74" s="15" t="str">
        <f aca="false">IF(M74="","",EDATE(M74,6))</f>
        <v/>
      </c>
      <c r="Q74" s="15" t="n">
        <f aca="false">IF(W74="","",IF(WEEKDAY(W74)=1,W74+1,W74))</f>
        <v>46293</v>
      </c>
      <c r="R74" s="13" t="str">
        <f aca="true">IF(Q74="","",IF(AND(N(K74)&gt;=3,G74&lt;&gt;"Perdido"),"Mover para Perdido",IF(Q74&lt;TODAY(),"Atrasado",IF(Q74=TODAY(),"Hoje","No prazo"))))</f>
        <v>Atrasado</v>
      </c>
      <c r="S74" s="12"/>
      <c r="T74" s="12"/>
      <c r="U74" s="12"/>
      <c r="V74" s="7" t="s">
        <v>137</v>
      </c>
      <c r="W74" s="15" t="n">
        <f aca="true">IF(G74="","",IF(OR(G74="Novo contato",G74="Em conversa"),IF(J74="",TODAY(),J74+1),IF(G74="Avaliação marcada",IF(L74="",TODAY(),L74-1),IF(G74="Proposta enviada",IF(J74="",TODAY(),J74+2),IF(G74="Fechou pacote",IF(J74="",TODAY(),J74+7),IF(G74="Em tratamento",IF(M74="",TODAY(),IF(TODAY()&lt;=M74+1,M74+1,EDATE(M74,6)-30)),IF(G74="Pós-venda",IF(J74="",TODAY(),J74+7),IF(G74="Perdido",IF(J74="",TODAY(),J74+60),""))))))))</f>
        <v>46292</v>
      </c>
    </row>
    <row r="75" customFormat="false" ht="15" hidden="false" customHeight="false" outlineLevel="0" collapsed="false">
      <c r="A75" s="12" t="s">
        <v>271</v>
      </c>
      <c r="B75" s="12" t="s">
        <v>272</v>
      </c>
      <c r="C75" s="12" t="s">
        <v>62</v>
      </c>
      <c r="D75" s="12"/>
      <c r="E75" s="12" t="s">
        <v>152</v>
      </c>
      <c r="F75" s="13" t="str">
        <f aca="false">IF(OR(E75="",E75="A completar",E75="Ainda não sabe"),"",IF(OR(E75="Limpeza de pele",E75="Peeling de diamante",E75="Microagulhamento"),"Rosto","Corpo"))</f>
        <v>Rosto</v>
      </c>
      <c r="G75" s="12" t="s">
        <v>46</v>
      </c>
      <c r="H75" s="12"/>
      <c r="I75" s="12" t="s">
        <v>97</v>
      </c>
      <c r="J75" s="14" t="n">
        <v>46294</v>
      </c>
      <c r="K75" s="12" t="n">
        <v>0</v>
      </c>
      <c r="L75" s="14"/>
      <c r="M75" s="14"/>
      <c r="N75" s="12"/>
      <c r="O75" s="12"/>
      <c r="P75" s="15" t="str">
        <f aca="false">IF(M75="","",EDATE(M75,6))</f>
        <v/>
      </c>
      <c r="Q75" s="15" t="n">
        <f aca="false">IF(W75="","",IF(WEEKDAY(W75)=1,W75+1,W75))</f>
        <v>46295</v>
      </c>
      <c r="R75" s="13" t="str">
        <f aca="true">IF(Q75="","",IF(AND(N(K75)&gt;=3,G75&lt;&gt;"Perdido"),"Mover para Perdido",IF(Q75&lt;TODAY(),"Atrasado",IF(Q75=TODAY(),"Hoje","No prazo"))))</f>
        <v>Atrasado</v>
      </c>
      <c r="S75" s="12" t="s">
        <v>106</v>
      </c>
      <c r="T75" s="12"/>
      <c r="U75" s="12"/>
      <c r="V75" s="7" t="s">
        <v>157</v>
      </c>
      <c r="W75" s="15" t="n">
        <f aca="true">IF(G75="","",IF(OR(G75="Novo contato",G75="Em conversa"),IF(J75="",TODAY(),J75+1),IF(G75="Avaliação marcada",IF(L75="",TODAY(),L75-1),IF(G75="Proposta enviada",IF(J75="",TODAY(),J75+2),IF(G75="Fechou pacote",IF(J75="",TODAY(),J75+7),IF(G75="Em tratamento",IF(M75="",TODAY(),IF(TODAY()&lt;=M75+1,M75+1,EDATE(M75,6)-30)),IF(G75="Pós-venda",IF(J75="",TODAY(),J75+7),IF(G75="Perdido",IF(J75="",TODAY(),J75+60),""))))))))</f>
        <v>46295</v>
      </c>
    </row>
    <row r="76" customFormat="false" ht="15" hidden="false" customHeight="false" outlineLevel="0" collapsed="false">
      <c r="A76" s="12" t="s">
        <v>273</v>
      </c>
      <c r="B76" s="12" t="s">
        <v>274</v>
      </c>
      <c r="C76" s="12" t="s">
        <v>60</v>
      </c>
      <c r="D76" s="12"/>
      <c r="E76" s="12" t="s">
        <v>110</v>
      </c>
      <c r="F76" s="13" t="str">
        <f aca="false">IF(OR(E76="",E76="A completar",E76="Ainda não sabe"),"",IF(OR(E76="Limpeza de pele",E76="Peeling de diamante",E76="Microagulhamento"),"Rosto","Corpo"))</f>
        <v>Corpo</v>
      </c>
      <c r="G76" s="12" t="s">
        <v>48</v>
      </c>
      <c r="H76" s="12"/>
      <c r="I76" s="12" t="s">
        <v>97</v>
      </c>
      <c r="J76" s="14" t="n">
        <v>46257</v>
      </c>
      <c r="K76" s="12" t="n">
        <v>0</v>
      </c>
      <c r="L76" s="14"/>
      <c r="M76" s="14"/>
      <c r="N76" s="12"/>
      <c r="O76" s="12"/>
      <c r="P76" s="15" t="str">
        <f aca="false">IF(M76="","",EDATE(M76,6))</f>
        <v/>
      </c>
      <c r="Q76" s="15" t="n">
        <f aca="false">IF(W76="","",IF(WEEKDAY(W76)=1,W76+1,W76))</f>
        <v>46309</v>
      </c>
      <c r="R76" s="13" t="str">
        <f aca="true">IF(Q76="","",IF(AND(N(K76)&gt;=3,G76&lt;&gt;"Perdido"),"Mover para Perdido",IF(Q76&lt;TODAY(),"Atrasado",IF(Q76=TODAY(),"Hoje","No prazo"))))</f>
        <v>Hoje</v>
      </c>
      <c r="S76" s="12" t="s">
        <v>106</v>
      </c>
      <c r="T76" s="12"/>
      <c r="U76" s="12"/>
      <c r="V76" s="7" t="s">
        <v>131</v>
      </c>
      <c r="W76" s="15" t="n">
        <f aca="true">IF(G76="","",IF(OR(G76="Novo contato",G76="Em conversa"),IF(J76="",TODAY(),J76+1),IF(G76="Avaliação marcada",IF(L76="",TODAY(),L76-1),IF(G76="Proposta enviada",IF(J76="",TODAY(),J76+2),IF(G76="Fechou pacote",IF(J76="",TODAY(),J76+7),IF(G76="Em tratamento",IF(M76="",TODAY(),IF(TODAY()&lt;=M76+1,M76+1,EDATE(M76,6)-30)),IF(G76="Pós-venda",IF(J76="",TODAY(),J76+7),IF(G76="Perdido",IF(J76="",TODAY(),J76+60),""))))))))</f>
        <v>46309</v>
      </c>
    </row>
    <row r="77" customFormat="false" ht="15" hidden="false" customHeight="false" outlineLevel="0" collapsed="false">
      <c r="A77" s="12" t="s">
        <v>275</v>
      </c>
      <c r="B77" s="12" t="s">
        <v>276</v>
      </c>
      <c r="C77" s="12" t="s">
        <v>59</v>
      </c>
      <c r="D77" s="12"/>
      <c r="E77" s="12" t="s">
        <v>110</v>
      </c>
      <c r="F77" s="13" t="str">
        <f aca="false">IF(OR(E77="",E77="A completar",E77="Ainda não sabe"),"",IF(OR(E77="Limpeza de pele",E77="Peeling de diamante",E77="Microagulhamento"),"Rosto","Corpo"))</f>
        <v>Corpo</v>
      </c>
      <c r="G77" s="12" t="s">
        <v>46</v>
      </c>
      <c r="H77" s="12"/>
      <c r="I77" s="12" t="s">
        <v>97</v>
      </c>
      <c r="J77" s="14" t="n">
        <v>46274</v>
      </c>
      <c r="K77" s="12" t="n">
        <v>1</v>
      </c>
      <c r="L77" s="14"/>
      <c r="M77" s="14"/>
      <c r="N77" s="12"/>
      <c r="O77" s="12"/>
      <c r="P77" s="15" t="str">
        <f aca="false">IF(M77="","",EDATE(M77,6))</f>
        <v/>
      </c>
      <c r="Q77" s="15" t="n">
        <f aca="false">IF(W77="","",IF(WEEKDAY(W77)=1,W77+1,W77))</f>
        <v>46275</v>
      </c>
      <c r="R77" s="13" t="str">
        <f aca="true">IF(Q77="","",IF(AND(N(K77)&gt;=3,G77&lt;&gt;"Perdido"),"Mover para Perdido",IF(Q77&lt;TODAY(),"Atrasado",IF(Q77=TODAY(),"Hoje","No prazo"))))</f>
        <v>Atrasado</v>
      </c>
      <c r="S77" s="12" t="s">
        <v>140</v>
      </c>
      <c r="T77" s="12"/>
      <c r="U77" s="12"/>
      <c r="V77" s="7" t="s">
        <v>102</v>
      </c>
      <c r="W77" s="15" t="n">
        <f aca="true">IF(G77="","",IF(OR(G77="Novo contato",G77="Em conversa"),IF(J77="",TODAY(),J77+1),IF(G77="Avaliação marcada",IF(L77="",TODAY(),L77-1),IF(G77="Proposta enviada",IF(J77="",TODAY(),J77+2),IF(G77="Fechou pacote",IF(J77="",TODAY(),J77+7),IF(G77="Em tratamento",IF(M77="",TODAY(),IF(TODAY()&lt;=M77+1,M77+1,EDATE(M77,6)-30)),IF(G77="Pós-venda",IF(J77="",TODAY(),J77+7),IF(G77="Perdido",IF(J77="",TODAY(),J77+60),""))))))))</f>
        <v>46275</v>
      </c>
    </row>
    <row r="78" customFormat="false" ht="15" hidden="false" customHeight="false" outlineLevel="0" collapsed="false">
      <c r="A78" s="12" t="s">
        <v>277</v>
      </c>
      <c r="B78" s="12" t="s">
        <v>278</v>
      </c>
      <c r="C78" s="12" t="s">
        <v>62</v>
      </c>
      <c r="D78" s="12"/>
      <c r="E78" s="12" t="s">
        <v>110</v>
      </c>
      <c r="F78" s="13" t="str">
        <f aca="false">IF(OR(E78="",E78="A completar",E78="Ainda não sabe"),"",IF(OR(E78="Limpeza de pele",E78="Peeling de diamante",E78="Microagulhamento"),"Rosto","Corpo"))</f>
        <v>Corpo</v>
      </c>
      <c r="G78" s="12" t="s">
        <v>46</v>
      </c>
      <c r="H78" s="12"/>
      <c r="I78" s="12" t="s">
        <v>97</v>
      </c>
      <c r="J78" s="14"/>
      <c r="K78" s="12" t="n">
        <v>0</v>
      </c>
      <c r="L78" s="14"/>
      <c r="M78" s="14"/>
      <c r="N78" s="12"/>
      <c r="O78" s="12"/>
      <c r="P78" s="15" t="str">
        <f aca="false">IF(M78="","",EDATE(M78,6))</f>
        <v/>
      </c>
      <c r="Q78" s="15" t="n">
        <f aca="false">IF(W78="","",IF(WEEKDAY(W78)=1,W78+1,W78))</f>
        <v>46309</v>
      </c>
      <c r="R78" s="13" t="str">
        <f aca="true">IF(Q78="","",IF(AND(N(K78)&gt;=3,G78&lt;&gt;"Perdido"),"Mover para Perdido",IF(Q78&lt;TODAY(),"Atrasado",IF(Q78=TODAY(),"Hoje","No prazo"))))</f>
        <v>Hoje</v>
      </c>
      <c r="S78" s="12" t="s">
        <v>130</v>
      </c>
      <c r="T78" s="12"/>
      <c r="U78" s="12"/>
      <c r="V78" s="7" t="s">
        <v>124</v>
      </c>
      <c r="W78" s="15" t="n">
        <f aca="true">IF(G78="","",IF(OR(G78="Novo contato",G78="Em conversa"),IF(J78="",TODAY(),J78+1),IF(G78="Avaliação marcada",IF(L78="",TODAY(),L78-1),IF(G78="Proposta enviada",IF(J78="",TODAY(),J78+2),IF(G78="Fechou pacote",IF(J78="",TODAY(),J78+7),IF(G78="Em tratamento",IF(M78="",TODAY(),IF(TODAY()&lt;=M78+1,M78+1,EDATE(M78,6)-30)),IF(G78="Pós-venda",IF(J78="",TODAY(),J78+7),IF(G78="Perdido",IF(J78="",TODAY(),J78+60),""))))))))</f>
        <v>46309</v>
      </c>
    </row>
    <row r="79" customFormat="false" ht="15" hidden="false" customHeight="false" outlineLevel="0" collapsed="false">
      <c r="A79" s="12" t="s">
        <v>279</v>
      </c>
      <c r="B79" s="12" t="s">
        <v>280</v>
      </c>
      <c r="C79" s="12" t="s">
        <v>59</v>
      </c>
      <c r="D79" s="12"/>
      <c r="E79" s="12" t="s">
        <v>152</v>
      </c>
      <c r="F79" s="13" t="str">
        <f aca="false">IF(OR(E79="",E79="A completar",E79="Ainda não sabe"),"",IF(OR(E79="Limpeza de pele",E79="Peeling de diamante",E79="Microagulhamento"),"Rosto","Corpo"))</f>
        <v>Rosto</v>
      </c>
      <c r="G79" s="12" t="s">
        <v>46</v>
      </c>
      <c r="H79" s="12"/>
      <c r="I79" s="12" t="s">
        <v>97</v>
      </c>
      <c r="J79" s="14"/>
      <c r="K79" s="12" t="n">
        <v>1</v>
      </c>
      <c r="L79" s="14"/>
      <c r="M79" s="14"/>
      <c r="N79" s="12"/>
      <c r="O79" s="12"/>
      <c r="P79" s="15" t="str">
        <f aca="false">IF(M79="","",EDATE(M79,6))</f>
        <v/>
      </c>
      <c r="Q79" s="15" t="n">
        <f aca="false">IF(W79="","",IF(WEEKDAY(W79)=1,W79+1,W79))</f>
        <v>46309</v>
      </c>
      <c r="R79" s="13" t="str">
        <f aca="true">IF(Q79="","",IF(AND(N(K79)&gt;=3,G79&lt;&gt;"Perdido"),"Mover para Perdido",IF(Q79&lt;TODAY(),"Atrasado",IF(Q79=TODAY(),"Hoje","No prazo"))))</f>
        <v>Hoje</v>
      </c>
      <c r="S79" s="12" t="s">
        <v>111</v>
      </c>
      <c r="T79" s="12"/>
      <c r="U79" s="12"/>
      <c r="V79" s="7" t="s">
        <v>102</v>
      </c>
      <c r="W79" s="15" t="n">
        <f aca="true">IF(G79="","",IF(OR(G79="Novo contato",G79="Em conversa"),IF(J79="",TODAY(),J79+1),IF(G79="Avaliação marcada",IF(L79="",TODAY(),L79-1),IF(G79="Proposta enviada",IF(J79="",TODAY(),J79+2),IF(G79="Fechou pacote",IF(J79="",TODAY(),J79+7),IF(G79="Em tratamento",IF(M79="",TODAY(),IF(TODAY()&lt;=M79+1,M79+1,EDATE(M79,6)-30)),IF(G79="Pós-venda",IF(J79="",TODAY(),J79+7),IF(G79="Perdido",IF(J79="",TODAY(),J79+60),""))))))))</f>
        <v>46309</v>
      </c>
    </row>
    <row r="80" customFormat="false" ht="15" hidden="false" customHeight="false" outlineLevel="0" collapsed="false">
      <c r="A80" s="12" t="s">
        <v>281</v>
      </c>
      <c r="B80" s="12" t="s">
        <v>282</v>
      </c>
      <c r="C80" s="12" t="s">
        <v>57</v>
      </c>
      <c r="D80" s="12"/>
      <c r="E80" s="12" t="s">
        <v>68</v>
      </c>
      <c r="F80" s="13" t="str">
        <f aca="false">IF(OR(E80="",E80="A completar",E80="Ainda não sabe"),"",IF(OR(E80="Limpeza de pele",E80="Peeling de diamante",E80="Microagulhamento"),"Rosto","Corpo"))</f>
        <v/>
      </c>
      <c r="G80" s="12" t="s">
        <v>46</v>
      </c>
      <c r="H80" s="12"/>
      <c r="I80" s="12" t="s">
        <v>97</v>
      </c>
      <c r="J80" s="14" t="n">
        <v>46239</v>
      </c>
      <c r="K80" s="12" t="n">
        <v>1</v>
      </c>
      <c r="L80" s="14"/>
      <c r="M80" s="14"/>
      <c r="N80" s="12"/>
      <c r="O80" s="12"/>
      <c r="P80" s="15" t="str">
        <f aca="false">IF(M80="","",EDATE(M80,6))</f>
        <v/>
      </c>
      <c r="Q80" s="15" t="n">
        <f aca="false">IF(W80="","",IF(WEEKDAY(W80)=1,W80+1,W80))</f>
        <v>46240</v>
      </c>
      <c r="R80" s="13" t="str">
        <f aca="true">IF(Q80="","",IF(AND(N(K80)&gt;=3,G80&lt;&gt;"Perdido"),"Mover para Perdido",IF(Q80&lt;TODAY(),"Atrasado",IF(Q80=TODAY(),"Hoje","No prazo"))))</f>
        <v>Atrasado</v>
      </c>
      <c r="S80" s="12" t="s">
        <v>140</v>
      </c>
      <c r="T80" s="12"/>
      <c r="U80" s="12"/>
      <c r="V80" s="7" t="s">
        <v>112</v>
      </c>
      <c r="W80" s="15" t="n">
        <f aca="true">IF(G80="","",IF(OR(G80="Novo contato",G80="Em conversa"),IF(J80="",TODAY(),J80+1),IF(G80="Avaliação marcada",IF(L80="",TODAY(),L80-1),IF(G80="Proposta enviada",IF(J80="",TODAY(),J80+2),IF(G80="Fechou pacote",IF(J80="",TODAY(),J80+7),IF(G80="Em tratamento",IF(M80="",TODAY(),IF(TODAY()&lt;=M80+1,M80+1,EDATE(M80,6)-30)),IF(G80="Pós-venda",IF(J80="",TODAY(),J80+7),IF(G80="Perdido",IF(J80="",TODAY(),J80+60),""))))))))</f>
        <v>46240</v>
      </c>
    </row>
    <row r="81" customFormat="false" ht="15" hidden="false" customHeight="false" outlineLevel="0" collapsed="false">
      <c r="A81" s="12" t="s">
        <v>283</v>
      </c>
      <c r="B81" s="12" t="s">
        <v>284</v>
      </c>
      <c r="C81" s="12" t="s">
        <v>57</v>
      </c>
      <c r="D81" s="12"/>
      <c r="E81" s="12" t="s">
        <v>101</v>
      </c>
      <c r="F81" s="13" t="str">
        <f aca="false">IF(OR(E81="",E81="A completar",E81="Ainda não sabe"),"",IF(OR(E81="Limpeza de pele",E81="Peeling de diamante",E81="Microagulhamento"),"Rosto","Corpo"))</f>
        <v>Corpo</v>
      </c>
      <c r="G81" s="12" t="s">
        <v>48</v>
      </c>
      <c r="H81" s="12"/>
      <c r="I81" s="12" t="s">
        <v>97</v>
      </c>
      <c r="J81" s="14" t="n">
        <v>46303</v>
      </c>
      <c r="K81" s="12" t="n">
        <v>0</v>
      </c>
      <c r="L81" s="14"/>
      <c r="M81" s="14"/>
      <c r="N81" s="12"/>
      <c r="O81" s="12"/>
      <c r="P81" s="15" t="str">
        <f aca="false">IF(M81="","",EDATE(M81,6))</f>
        <v/>
      </c>
      <c r="Q81" s="15" t="n">
        <f aca="false">IF(W81="","",IF(WEEKDAY(W81)=1,W81+1,W81))</f>
        <v>46309</v>
      </c>
      <c r="R81" s="13" t="str">
        <f aca="true">IF(Q81="","",IF(AND(N(K81)&gt;=3,G81&lt;&gt;"Perdido"),"Mover para Perdido",IF(Q81&lt;TODAY(),"Atrasado",IF(Q81=TODAY(),"Hoje","No prazo"))))</f>
        <v>Hoje</v>
      </c>
      <c r="S81" s="12" t="s">
        <v>106</v>
      </c>
      <c r="T81" s="12"/>
      <c r="U81" s="12"/>
      <c r="V81" s="7" t="s">
        <v>131</v>
      </c>
      <c r="W81" s="15" t="n">
        <f aca="true">IF(G81="","",IF(OR(G81="Novo contato",G81="Em conversa"),IF(J81="",TODAY(),J81+1),IF(G81="Avaliação marcada",IF(L81="",TODAY(),L81-1),IF(G81="Proposta enviada",IF(J81="",TODAY(),J81+2),IF(G81="Fechou pacote",IF(J81="",TODAY(),J81+7),IF(G81="Em tratamento",IF(M81="",TODAY(),IF(TODAY()&lt;=M81+1,M81+1,EDATE(M81,6)-30)),IF(G81="Pós-venda",IF(J81="",TODAY(),J81+7),IF(G81="Perdido",IF(J81="",TODAY(),J81+60),""))))))))</f>
        <v>46309</v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3" t="str">
        <f aca="false">IF(OR(E82="",E82="A completar",E82="Ainda não sabe"),"",IF(OR(E82="Limpeza de pele",E82="Peeling de diamante",E82="Microagulhamento"),"Rosto","Corpo"))</f>
        <v/>
      </c>
      <c r="G82" s="12"/>
      <c r="H82" s="12"/>
      <c r="I82" s="12"/>
      <c r="J82" s="14"/>
      <c r="K82" s="12"/>
      <c r="L82" s="14"/>
      <c r="M82" s="14"/>
      <c r="N82" s="12"/>
      <c r="O82" s="12"/>
      <c r="P82" s="15" t="str">
        <f aca="false">IF(M82="","",EDATE(M82,6))</f>
        <v/>
      </c>
      <c r="Q82" s="15" t="str">
        <f aca="false">IF(W82="","",IF(WEEKDAY(W82)=1,W82+1,W82))</f>
        <v/>
      </c>
      <c r="R82" s="13" t="str">
        <f aca="true">IF(Q82="","",IF(AND(N(K82)&gt;=3,G82&lt;&gt;"Perdido"),"Mover para Perdido",IF(Q82&lt;TODAY(),"Atrasado",IF(Q82=TODAY(),"Hoje","No prazo"))))</f>
        <v/>
      </c>
      <c r="S82" s="12"/>
      <c r="T82" s="12"/>
      <c r="U82" s="12"/>
      <c r="V82" s="7"/>
      <c r="W82" s="15" t="str">
        <f aca="true">IF(G82="","",IF(OR(G82="Novo contato",G82="Em conversa"),IF(J82="",TODAY(),J82+1),IF(G82="Avaliação marcada",IF(L82="",TODAY(),L82-1),IF(G82="Proposta enviada",IF(J82="",TODAY(),J82+2),IF(G82="Fechou pacote",IF(J82="",TODAY(),J82+7),IF(G82="Em tratamento",IF(M82="",TODAY(),IF(TODAY()&lt;=M82+1,M82+1,EDATE(M82,6)-30)),IF(G82="Pós-venda",IF(J82="",TODAY(),J82+7),IF(G82="Perdido",IF(J82="",TODAY(),J82+60),""))))))))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3" t="str">
        <f aca="false">IF(OR(E83="",E83="A completar",E83="Ainda não sabe"),"",IF(OR(E83="Limpeza de pele",E83="Peeling de diamante",E83="Microagulhamento"),"Rosto","Corpo"))</f>
        <v/>
      </c>
      <c r="G83" s="12"/>
      <c r="H83" s="12"/>
      <c r="I83" s="12"/>
      <c r="J83" s="14"/>
      <c r="K83" s="12"/>
      <c r="L83" s="14"/>
      <c r="M83" s="14"/>
      <c r="N83" s="12"/>
      <c r="O83" s="12"/>
      <c r="P83" s="15" t="str">
        <f aca="false">IF(M83="","",EDATE(M83,6))</f>
        <v/>
      </c>
      <c r="Q83" s="15" t="str">
        <f aca="false">IF(W83="","",IF(WEEKDAY(W83)=1,W83+1,W83))</f>
        <v/>
      </c>
      <c r="R83" s="13" t="str">
        <f aca="true">IF(Q83="","",IF(AND(N(K83)&gt;=3,G83&lt;&gt;"Perdido"),"Mover para Perdido",IF(Q83&lt;TODAY(),"Atrasado",IF(Q83=TODAY(),"Hoje","No prazo"))))</f>
        <v/>
      </c>
      <c r="S83" s="12"/>
      <c r="T83" s="12"/>
      <c r="U83" s="12"/>
      <c r="V83" s="7"/>
      <c r="W83" s="15" t="str">
        <f aca="true">IF(G83="","",IF(OR(G83="Novo contato",G83="Em conversa"),IF(J83="",TODAY(),J83+1),IF(G83="Avaliação marcada",IF(L83="",TODAY(),L83-1),IF(G83="Proposta enviada",IF(J83="",TODAY(),J83+2),IF(G83="Fechou pacote",IF(J83="",TODAY(),J83+7),IF(G83="Em tratamento",IF(M83="",TODAY(),IF(TODAY()&lt;=M83+1,M83+1,EDATE(M83,6)-30)),IF(G83="Pós-venda",IF(J83="",TODAY(),J83+7),IF(G83="Perdido",IF(J83="",TODAY(),J83+60),""))))))))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3" t="str">
        <f aca="false">IF(OR(E84="",E84="A completar",E84="Ainda não sabe"),"",IF(OR(E84="Limpeza de pele",E84="Peeling de diamante",E84="Microagulhamento"),"Rosto","Corpo"))</f>
        <v/>
      </c>
      <c r="G84" s="12"/>
      <c r="H84" s="12"/>
      <c r="I84" s="12"/>
      <c r="J84" s="14"/>
      <c r="K84" s="12"/>
      <c r="L84" s="14"/>
      <c r="M84" s="14"/>
      <c r="N84" s="12"/>
      <c r="O84" s="12"/>
      <c r="P84" s="15" t="str">
        <f aca="false">IF(M84="","",EDATE(M84,6))</f>
        <v/>
      </c>
      <c r="Q84" s="15" t="str">
        <f aca="false">IF(W84="","",IF(WEEKDAY(W84)=1,W84+1,W84))</f>
        <v/>
      </c>
      <c r="R84" s="13" t="str">
        <f aca="true">IF(Q84="","",IF(AND(N(K84)&gt;=3,G84&lt;&gt;"Perdido"),"Mover para Perdido",IF(Q84&lt;TODAY(),"Atrasado",IF(Q84=TODAY(),"Hoje","No prazo"))))</f>
        <v/>
      </c>
      <c r="S84" s="12"/>
      <c r="T84" s="12"/>
      <c r="U84" s="12"/>
      <c r="V84" s="7"/>
      <c r="W84" s="15" t="str">
        <f aca="true">IF(G84="","",IF(OR(G84="Novo contato",G84="Em conversa"),IF(J84="",TODAY(),J84+1),IF(G84="Avaliação marcada",IF(L84="",TODAY(),L84-1),IF(G84="Proposta enviada",IF(J84="",TODAY(),J84+2),IF(G84="Fechou pacote",IF(J84="",TODAY(),J84+7),IF(G84="Em tratamento",IF(M84="",TODAY(),IF(TODAY()&lt;=M84+1,M84+1,EDATE(M84,6)-30)),IF(G84="Pós-venda",IF(J84="",TODAY(),J84+7),IF(G84="Perdido",IF(J84="",TODAY(),J84+60),""))))))))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3" t="str">
        <f aca="false">IF(OR(E85="",E85="A completar",E85="Ainda não sabe"),"",IF(OR(E85="Limpeza de pele",E85="Peeling de diamante",E85="Microagulhamento"),"Rosto","Corpo"))</f>
        <v/>
      </c>
      <c r="G85" s="12"/>
      <c r="H85" s="12"/>
      <c r="I85" s="12"/>
      <c r="J85" s="14"/>
      <c r="K85" s="12"/>
      <c r="L85" s="14"/>
      <c r="M85" s="14"/>
      <c r="N85" s="12"/>
      <c r="O85" s="12"/>
      <c r="P85" s="15" t="str">
        <f aca="false">IF(M85="","",EDATE(M85,6))</f>
        <v/>
      </c>
      <c r="Q85" s="15" t="str">
        <f aca="false">IF(W85="","",IF(WEEKDAY(W85)=1,W85+1,W85))</f>
        <v/>
      </c>
      <c r="R85" s="13" t="str">
        <f aca="true">IF(Q85="","",IF(AND(N(K85)&gt;=3,G85&lt;&gt;"Perdido"),"Mover para Perdido",IF(Q85&lt;TODAY(),"Atrasado",IF(Q85=TODAY(),"Hoje","No prazo"))))</f>
        <v/>
      </c>
      <c r="S85" s="12"/>
      <c r="T85" s="12"/>
      <c r="U85" s="12"/>
      <c r="V85" s="7"/>
      <c r="W85" s="15" t="str">
        <f aca="true">IF(G85="","",IF(OR(G85="Novo contato",G85="Em conversa"),IF(J85="",TODAY(),J85+1),IF(G85="Avaliação marcada",IF(L85="",TODAY(),L85-1),IF(G85="Proposta enviada",IF(J85="",TODAY(),J85+2),IF(G85="Fechou pacote",IF(J85="",TODAY(),J85+7),IF(G85="Em tratamento",IF(M85="",TODAY(),IF(TODAY()&lt;=M85+1,M85+1,EDATE(M85,6)-30)),IF(G85="Pós-venda",IF(J85="",TODAY(),J85+7),IF(G85="Perdido",IF(J85="",TODAY(),J85+60),""))))))))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3" t="str">
        <f aca="false">IF(OR(E86="",E86="A completar",E86="Ainda não sabe"),"",IF(OR(E86="Limpeza de pele",E86="Peeling de diamante",E86="Microagulhamento"),"Rosto","Corpo"))</f>
        <v/>
      </c>
      <c r="G86" s="12"/>
      <c r="H86" s="12"/>
      <c r="I86" s="12"/>
      <c r="J86" s="14"/>
      <c r="K86" s="12"/>
      <c r="L86" s="14"/>
      <c r="M86" s="14"/>
      <c r="N86" s="12"/>
      <c r="O86" s="12"/>
      <c r="P86" s="15" t="str">
        <f aca="false">IF(M86="","",EDATE(M86,6))</f>
        <v/>
      </c>
      <c r="Q86" s="15" t="str">
        <f aca="false">IF(W86="","",IF(WEEKDAY(W86)=1,W86+1,W86))</f>
        <v/>
      </c>
      <c r="R86" s="13" t="str">
        <f aca="true">IF(Q86="","",IF(AND(N(K86)&gt;=3,G86&lt;&gt;"Perdido"),"Mover para Perdido",IF(Q86&lt;TODAY(),"Atrasado",IF(Q86=TODAY(),"Hoje","No prazo"))))</f>
        <v/>
      </c>
      <c r="S86" s="12"/>
      <c r="T86" s="12"/>
      <c r="U86" s="12"/>
      <c r="V86" s="7"/>
      <c r="W86" s="15" t="str">
        <f aca="true">IF(G86="","",IF(OR(G86="Novo contato",G86="Em conversa"),IF(J86="",TODAY(),J86+1),IF(G86="Avaliação marcada",IF(L86="",TODAY(),L86-1),IF(G86="Proposta enviada",IF(J86="",TODAY(),J86+2),IF(G86="Fechou pacote",IF(J86="",TODAY(),J86+7),IF(G86="Em tratamento",IF(M86="",TODAY(),IF(TODAY()&lt;=M86+1,M86+1,EDATE(M86,6)-30)),IF(G86="Pós-venda",IF(J86="",TODAY(),J86+7),IF(G86="Perdido",IF(J86="",TODAY(),J86+60),""))))))))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3" t="str">
        <f aca="false">IF(OR(E87="",E87="A completar",E87="Ainda não sabe"),"",IF(OR(E87="Limpeza de pele",E87="Peeling de diamante",E87="Microagulhamento"),"Rosto","Corpo"))</f>
        <v/>
      </c>
      <c r="G87" s="12"/>
      <c r="H87" s="12"/>
      <c r="I87" s="12"/>
      <c r="J87" s="14"/>
      <c r="K87" s="12"/>
      <c r="L87" s="14"/>
      <c r="M87" s="14"/>
      <c r="N87" s="12"/>
      <c r="O87" s="12"/>
      <c r="P87" s="15" t="str">
        <f aca="false">IF(M87="","",EDATE(M87,6))</f>
        <v/>
      </c>
      <c r="Q87" s="15" t="str">
        <f aca="false">IF(W87="","",IF(WEEKDAY(W87)=1,W87+1,W87))</f>
        <v/>
      </c>
      <c r="R87" s="13" t="str">
        <f aca="true">IF(Q87="","",IF(AND(N(K87)&gt;=3,G87&lt;&gt;"Perdido"),"Mover para Perdido",IF(Q87&lt;TODAY(),"Atrasado",IF(Q87=TODAY(),"Hoje","No prazo"))))</f>
        <v/>
      </c>
      <c r="S87" s="12"/>
      <c r="T87" s="12"/>
      <c r="U87" s="12"/>
      <c r="V87" s="7"/>
      <c r="W87" s="15" t="str">
        <f aca="true">IF(G87="","",IF(OR(G87="Novo contato",G87="Em conversa"),IF(J87="",TODAY(),J87+1),IF(G87="Avaliação marcada",IF(L87="",TODAY(),L87-1),IF(G87="Proposta enviada",IF(J87="",TODAY(),J87+2),IF(G87="Fechou pacote",IF(J87="",TODAY(),J87+7),IF(G87="Em tratamento",IF(M87="",TODAY(),IF(TODAY()&lt;=M87+1,M87+1,EDATE(M87,6)-30)),IF(G87="Pós-venda",IF(J87="",TODAY(),J87+7),IF(G87="Perdido",IF(J87="",TODAY(),J87+60),""))))))))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3" t="str">
        <f aca="false">IF(OR(E88="",E88="A completar",E88="Ainda não sabe"),"",IF(OR(E88="Limpeza de pele",E88="Peeling de diamante",E88="Microagulhamento"),"Rosto","Corpo"))</f>
        <v/>
      </c>
      <c r="G88" s="12"/>
      <c r="H88" s="12"/>
      <c r="I88" s="12"/>
      <c r="J88" s="14"/>
      <c r="K88" s="12"/>
      <c r="L88" s="14"/>
      <c r="M88" s="14"/>
      <c r="N88" s="12"/>
      <c r="O88" s="12"/>
      <c r="P88" s="15" t="str">
        <f aca="false">IF(M88="","",EDATE(M88,6))</f>
        <v/>
      </c>
      <c r="Q88" s="15" t="str">
        <f aca="false">IF(W88="","",IF(WEEKDAY(W88)=1,W88+1,W88))</f>
        <v/>
      </c>
      <c r="R88" s="13" t="str">
        <f aca="true">IF(Q88="","",IF(AND(N(K88)&gt;=3,G88&lt;&gt;"Perdido"),"Mover para Perdido",IF(Q88&lt;TODAY(),"Atrasado",IF(Q88=TODAY(),"Hoje","No prazo"))))</f>
        <v/>
      </c>
      <c r="S88" s="12"/>
      <c r="T88" s="12"/>
      <c r="U88" s="12"/>
      <c r="V88" s="7"/>
      <c r="W88" s="15" t="str">
        <f aca="true">IF(G88="","",IF(OR(G88="Novo contato",G88="Em conversa"),IF(J88="",TODAY(),J88+1),IF(G88="Avaliação marcada",IF(L88="",TODAY(),L88-1),IF(G88="Proposta enviada",IF(J88="",TODAY(),J88+2),IF(G88="Fechou pacote",IF(J88="",TODAY(),J88+7),IF(G88="Em tratamento",IF(M88="",TODAY(),IF(TODAY()&lt;=M88+1,M88+1,EDATE(M88,6)-30)),IF(G88="Pós-venda",IF(J88="",TODAY(),J88+7),IF(G88="Perdido",IF(J88="",TODAY(),J88+60),""))))))))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3" t="str">
        <f aca="false">IF(OR(E89="",E89="A completar",E89="Ainda não sabe"),"",IF(OR(E89="Limpeza de pele",E89="Peeling de diamante",E89="Microagulhamento"),"Rosto","Corpo"))</f>
        <v/>
      </c>
      <c r="G89" s="12"/>
      <c r="H89" s="12"/>
      <c r="I89" s="12"/>
      <c r="J89" s="14"/>
      <c r="K89" s="12"/>
      <c r="L89" s="14"/>
      <c r="M89" s="14"/>
      <c r="N89" s="12"/>
      <c r="O89" s="12"/>
      <c r="P89" s="15" t="str">
        <f aca="false">IF(M89="","",EDATE(M89,6))</f>
        <v/>
      </c>
      <c r="Q89" s="15" t="str">
        <f aca="false">IF(W89="","",IF(WEEKDAY(W89)=1,W89+1,W89))</f>
        <v/>
      </c>
      <c r="R89" s="13" t="str">
        <f aca="true">IF(Q89="","",IF(AND(N(K89)&gt;=3,G89&lt;&gt;"Perdido"),"Mover para Perdido",IF(Q89&lt;TODAY(),"Atrasado",IF(Q89=TODAY(),"Hoje","No prazo"))))</f>
        <v/>
      </c>
      <c r="S89" s="12"/>
      <c r="T89" s="12"/>
      <c r="U89" s="12"/>
      <c r="V89" s="7"/>
      <c r="W89" s="15" t="str">
        <f aca="true">IF(G89="","",IF(OR(G89="Novo contato",G89="Em conversa"),IF(J89="",TODAY(),J89+1),IF(G89="Avaliação marcada",IF(L89="",TODAY(),L89-1),IF(G89="Proposta enviada",IF(J89="",TODAY(),J89+2),IF(G89="Fechou pacote",IF(J89="",TODAY(),J89+7),IF(G89="Em tratamento",IF(M89="",TODAY(),IF(TODAY()&lt;=M89+1,M89+1,EDATE(M89,6)-30)),IF(G89="Pós-venda",IF(J89="",TODAY(),J89+7),IF(G89="Perdido",IF(J89="",TODAY(),J89+60),""))))))))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3" t="str">
        <f aca="false">IF(OR(E90="",E90="A completar",E90="Ainda não sabe"),"",IF(OR(E90="Limpeza de pele",E90="Peeling de diamante",E90="Microagulhamento"),"Rosto","Corpo"))</f>
        <v/>
      </c>
      <c r="G90" s="12"/>
      <c r="H90" s="12"/>
      <c r="I90" s="12"/>
      <c r="J90" s="14"/>
      <c r="K90" s="12"/>
      <c r="L90" s="14"/>
      <c r="M90" s="14"/>
      <c r="N90" s="12"/>
      <c r="O90" s="12"/>
      <c r="P90" s="15" t="str">
        <f aca="false">IF(M90="","",EDATE(M90,6))</f>
        <v/>
      </c>
      <c r="Q90" s="15" t="str">
        <f aca="false">IF(W90="","",IF(WEEKDAY(W90)=1,W90+1,W90))</f>
        <v/>
      </c>
      <c r="R90" s="13" t="str">
        <f aca="true">IF(Q90="","",IF(AND(N(K90)&gt;=3,G90&lt;&gt;"Perdido"),"Mover para Perdido",IF(Q90&lt;TODAY(),"Atrasado",IF(Q90=TODAY(),"Hoje","No prazo"))))</f>
        <v/>
      </c>
      <c r="S90" s="12"/>
      <c r="T90" s="12"/>
      <c r="U90" s="12"/>
      <c r="V90" s="7"/>
      <c r="W90" s="15" t="str">
        <f aca="true">IF(G90="","",IF(OR(G90="Novo contato",G90="Em conversa"),IF(J90="",TODAY(),J90+1),IF(G90="Avaliação marcada",IF(L90="",TODAY(),L90-1),IF(G90="Proposta enviada",IF(J90="",TODAY(),J90+2),IF(G90="Fechou pacote",IF(J90="",TODAY(),J90+7),IF(G90="Em tratamento",IF(M90="",TODAY(),IF(TODAY()&lt;=M90+1,M90+1,EDATE(M90,6)-30)),IF(G90="Pós-venda",IF(J90="",TODAY(),J90+7),IF(G90="Perdido",IF(J90="",TODAY(),J90+60),""))))))))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3" t="str">
        <f aca="false">IF(OR(E91="",E91="A completar",E91="Ainda não sabe"),"",IF(OR(E91="Limpeza de pele",E91="Peeling de diamante",E91="Microagulhamento"),"Rosto","Corpo"))</f>
        <v/>
      </c>
      <c r="G91" s="12"/>
      <c r="H91" s="12"/>
      <c r="I91" s="12"/>
      <c r="J91" s="14"/>
      <c r="K91" s="12"/>
      <c r="L91" s="14"/>
      <c r="M91" s="14"/>
      <c r="N91" s="12"/>
      <c r="O91" s="12"/>
      <c r="P91" s="15" t="str">
        <f aca="false">IF(M91="","",EDATE(M91,6))</f>
        <v/>
      </c>
      <c r="Q91" s="15" t="str">
        <f aca="false">IF(W91="","",IF(WEEKDAY(W91)=1,W91+1,W91))</f>
        <v/>
      </c>
      <c r="R91" s="13" t="str">
        <f aca="true">IF(Q91="","",IF(AND(N(K91)&gt;=3,G91&lt;&gt;"Perdido"),"Mover para Perdido",IF(Q91&lt;TODAY(),"Atrasado",IF(Q91=TODAY(),"Hoje","No prazo"))))</f>
        <v/>
      </c>
      <c r="S91" s="12"/>
      <c r="T91" s="12"/>
      <c r="U91" s="12"/>
      <c r="V91" s="7"/>
      <c r="W91" s="15" t="str">
        <f aca="true">IF(G91="","",IF(OR(G91="Novo contato",G91="Em conversa"),IF(J91="",TODAY(),J91+1),IF(G91="Avaliação marcada",IF(L91="",TODAY(),L91-1),IF(G91="Proposta enviada",IF(J91="",TODAY(),J91+2),IF(G91="Fechou pacote",IF(J91="",TODAY(),J91+7),IF(G91="Em tratamento",IF(M91="",TODAY(),IF(TODAY()&lt;=M91+1,M91+1,EDATE(M91,6)-30)),IF(G91="Pós-venda",IF(J91="",TODAY(),J91+7),IF(G91="Perdido",IF(J91="",TODAY(),J91+60),""))))))))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3" t="str">
        <f aca="false">IF(OR(E92="",E92="A completar",E92="Ainda não sabe"),"",IF(OR(E92="Limpeza de pele",E92="Peeling de diamante",E92="Microagulhamento"),"Rosto","Corpo"))</f>
        <v/>
      </c>
      <c r="G92" s="12"/>
      <c r="H92" s="12"/>
      <c r="I92" s="12"/>
      <c r="J92" s="14"/>
      <c r="K92" s="12"/>
      <c r="L92" s="14"/>
      <c r="M92" s="14"/>
      <c r="N92" s="12"/>
      <c r="O92" s="12"/>
      <c r="P92" s="15" t="str">
        <f aca="false">IF(M92="","",EDATE(M92,6))</f>
        <v/>
      </c>
      <c r="Q92" s="15" t="str">
        <f aca="false">IF(W92="","",IF(WEEKDAY(W92)=1,W92+1,W92))</f>
        <v/>
      </c>
      <c r="R92" s="13" t="str">
        <f aca="true">IF(Q92="","",IF(AND(N(K92)&gt;=3,G92&lt;&gt;"Perdido"),"Mover para Perdido",IF(Q92&lt;TODAY(),"Atrasado",IF(Q92=TODAY(),"Hoje","No prazo"))))</f>
        <v/>
      </c>
      <c r="S92" s="12"/>
      <c r="T92" s="12"/>
      <c r="U92" s="12"/>
      <c r="V92" s="7"/>
      <c r="W92" s="15" t="str">
        <f aca="true">IF(G92="","",IF(OR(G92="Novo contato",G92="Em conversa"),IF(J92="",TODAY(),J92+1),IF(G92="Avaliação marcada",IF(L92="",TODAY(),L92-1),IF(G92="Proposta enviada",IF(J92="",TODAY(),J92+2),IF(G92="Fechou pacote",IF(J92="",TODAY(),J92+7),IF(G92="Em tratamento",IF(M92="",TODAY(),IF(TODAY()&lt;=M92+1,M92+1,EDATE(M92,6)-30)),IF(G92="Pós-venda",IF(J92="",TODAY(),J92+7),IF(G92="Perdido",IF(J92="",TODAY(),J92+60),""))))))))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3" t="str">
        <f aca="false">IF(OR(E93="",E93="A completar",E93="Ainda não sabe"),"",IF(OR(E93="Limpeza de pele",E93="Peeling de diamante",E93="Microagulhamento"),"Rosto","Corpo"))</f>
        <v/>
      </c>
      <c r="G93" s="12"/>
      <c r="H93" s="12"/>
      <c r="I93" s="12"/>
      <c r="J93" s="14"/>
      <c r="K93" s="12"/>
      <c r="L93" s="14"/>
      <c r="M93" s="14"/>
      <c r="N93" s="12"/>
      <c r="O93" s="12"/>
      <c r="P93" s="15" t="str">
        <f aca="false">IF(M93="","",EDATE(M93,6))</f>
        <v/>
      </c>
      <c r="Q93" s="15" t="str">
        <f aca="false">IF(W93="","",IF(WEEKDAY(W93)=1,W93+1,W93))</f>
        <v/>
      </c>
      <c r="R93" s="13" t="str">
        <f aca="true">IF(Q93="","",IF(AND(N(K93)&gt;=3,G93&lt;&gt;"Perdido"),"Mover para Perdido",IF(Q93&lt;TODAY(),"Atrasado",IF(Q93=TODAY(),"Hoje","No prazo"))))</f>
        <v/>
      </c>
      <c r="S93" s="12"/>
      <c r="T93" s="12"/>
      <c r="U93" s="12"/>
      <c r="V93" s="7"/>
      <c r="W93" s="15" t="str">
        <f aca="true">IF(G93="","",IF(OR(G93="Novo contato",G93="Em conversa"),IF(J93="",TODAY(),J93+1),IF(G93="Avaliação marcada",IF(L93="",TODAY(),L93-1),IF(G93="Proposta enviada",IF(J93="",TODAY(),J93+2),IF(G93="Fechou pacote",IF(J93="",TODAY(),J93+7),IF(G93="Em tratamento",IF(M93="",TODAY(),IF(TODAY()&lt;=M93+1,M93+1,EDATE(M93,6)-30)),IF(G93="Pós-venda",IF(J93="",TODAY(),J93+7),IF(G93="Perdido",IF(J93="",TODAY(),J93+60),""))))))))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3" t="str">
        <f aca="false">IF(OR(E94="",E94="A completar",E94="Ainda não sabe"),"",IF(OR(E94="Limpeza de pele",E94="Peeling de diamante",E94="Microagulhamento"),"Rosto","Corpo"))</f>
        <v/>
      </c>
      <c r="G94" s="12"/>
      <c r="H94" s="12"/>
      <c r="I94" s="12"/>
      <c r="J94" s="14"/>
      <c r="K94" s="12"/>
      <c r="L94" s="14"/>
      <c r="M94" s="14"/>
      <c r="N94" s="12"/>
      <c r="O94" s="12"/>
      <c r="P94" s="15" t="str">
        <f aca="false">IF(M94="","",EDATE(M94,6))</f>
        <v/>
      </c>
      <c r="Q94" s="15" t="str">
        <f aca="false">IF(W94="","",IF(WEEKDAY(W94)=1,W94+1,W94))</f>
        <v/>
      </c>
      <c r="R94" s="13" t="str">
        <f aca="true">IF(Q94="","",IF(AND(N(K94)&gt;=3,G94&lt;&gt;"Perdido"),"Mover para Perdido",IF(Q94&lt;TODAY(),"Atrasado",IF(Q94=TODAY(),"Hoje","No prazo"))))</f>
        <v/>
      </c>
      <c r="S94" s="12"/>
      <c r="T94" s="12"/>
      <c r="U94" s="12"/>
      <c r="V94" s="7"/>
      <c r="W94" s="15" t="str">
        <f aca="true">IF(G94="","",IF(OR(G94="Novo contato",G94="Em conversa"),IF(J94="",TODAY(),J94+1),IF(G94="Avaliação marcada",IF(L94="",TODAY(),L94-1),IF(G94="Proposta enviada",IF(J94="",TODAY(),J94+2),IF(G94="Fechou pacote",IF(J94="",TODAY(),J94+7),IF(G94="Em tratamento",IF(M94="",TODAY(),IF(TODAY()&lt;=M94+1,M94+1,EDATE(M94,6)-30)),IF(G94="Pós-venda",IF(J94="",TODAY(),J94+7),IF(G94="Perdido",IF(J94="",TODAY(),J94+60),""))))))))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3" t="str">
        <f aca="false">IF(OR(E95="",E95="A completar",E95="Ainda não sabe"),"",IF(OR(E95="Limpeza de pele",E95="Peeling de diamante",E95="Microagulhamento"),"Rosto","Corpo"))</f>
        <v/>
      </c>
      <c r="G95" s="12"/>
      <c r="H95" s="12"/>
      <c r="I95" s="12"/>
      <c r="J95" s="14"/>
      <c r="K95" s="12"/>
      <c r="L95" s="14"/>
      <c r="M95" s="14"/>
      <c r="N95" s="12"/>
      <c r="O95" s="12"/>
      <c r="P95" s="15" t="str">
        <f aca="false">IF(M95="","",EDATE(M95,6))</f>
        <v/>
      </c>
      <c r="Q95" s="15" t="str">
        <f aca="false">IF(W95="","",IF(WEEKDAY(W95)=1,W95+1,W95))</f>
        <v/>
      </c>
      <c r="R95" s="13" t="str">
        <f aca="true">IF(Q95="","",IF(AND(N(K95)&gt;=3,G95&lt;&gt;"Perdido"),"Mover para Perdido",IF(Q95&lt;TODAY(),"Atrasado",IF(Q95=TODAY(),"Hoje","No prazo"))))</f>
        <v/>
      </c>
      <c r="S95" s="12"/>
      <c r="T95" s="12"/>
      <c r="U95" s="12"/>
      <c r="V95" s="7"/>
      <c r="W95" s="15" t="str">
        <f aca="true">IF(G95="","",IF(OR(G95="Novo contato",G95="Em conversa"),IF(J95="",TODAY(),J95+1),IF(G95="Avaliação marcada",IF(L95="",TODAY(),L95-1),IF(G95="Proposta enviada",IF(J95="",TODAY(),J95+2),IF(G95="Fechou pacote",IF(J95="",TODAY(),J95+7),IF(G95="Em tratamento",IF(M95="",TODAY(),IF(TODAY()&lt;=M95+1,M95+1,EDATE(M95,6)-30)),IF(G95="Pós-venda",IF(J95="",TODAY(),J95+7),IF(G95="Perdido",IF(J95="",TODAY(),J95+60),""))))))))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3" t="str">
        <f aca="false">IF(OR(E96="",E96="A completar",E96="Ainda não sabe"),"",IF(OR(E96="Limpeza de pele",E96="Peeling de diamante",E96="Microagulhamento"),"Rosto","Corpo"))</f>
        <v/>
      </c>
      <c r="G96" s="12"/>
      <c r="H96" s="12"/>
      <c r="I96" s="12"/>
      <c r="J96" s="14"/>
      <c r="K96" s="12"/>
      <c r="L96" s="14"/>
      <c r="M96" s="14"/>
      <c r="N96" s="12"/>
      <c r="O96" s="12"/>
      <c r="P96" s="15" t="str">
        <f aca="false">IF(M96="","",EDATE(M96,6))</f>
        <v/>
      </c>
      <c r="Q96" s="15" t="str">
        <f aca="false">IF(W96="","",IF(WEEKDAY(W96)=1,W96+1,W96))</f>
        <v/>
      </c>
      <c r="R96" s="13" t="str">
        <f aca="true">IF(Q96="","",IF(AND(N(K96)&gt;=3,G96&lt;&gt;"Perdido"),"Mover para Perdido",IF(Q96&lt;TODAY(),"Atrasado",IF(Q96=TODAY(),"Hoje","No prazo"))))</f>
        <v/>
      </c>
      <c r="S96" s="12"/>
      <c r="T96" s="12"/>
      <c r="U96" s="12"/>
      <c r="V96" s="7"/>
      <c r="W96" s="15" t="str">
        <f aca="true">IF(G96="","",IF(OR(G96="Novo contato",G96="Em conversa"),IF(J96="",TODAY(),J96+1),IF(G96="Avaliação marcada",IF(L96="",TODAY(),L96-1),IF(G96="Proposta enviada",IF(J96="",TODAY(),J96+2),IF(G96="Fechou pacote",IF(J96="",TODAY(),J96+7),IF(G96="Em tratamento",IF(M96="",TODAY(),IF(TODAY()&lt;=M96+1,M96+1,EDATE(M96,6)-30)),IF(G96="Pós-venda",IF(J96="",TODAY(),J96+7),IF(G96="Perdido",IF(J96="",TODAY(),J96+60),""))))))))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3" t="str">
        <f aca="false">IF(OR(E97="",E97="A completar",E97="Ainda não sabe"),"",IF(OR(E97="Limpeza de pele",E97="Peeling de diamante",E97="Microagulhamento"),"Rosto","Corpo"))</f>
        <v/>
      </c>
      <c r="G97" s="12"/>
      <c r="H97" s="12"/>
      <c r="I97" s="12"/>
      <c r="J97" s="14"/>
      <c r="K97" s="12"/>
      <c r="L97" s="14"/>
      <c r="M97" s="14"/>
      <c r="N97" s="12"/>
      <c r="O97" s="12"/>
      <c r="P97" s="15" t="str">
        <f aca="false">IF(M97="","",EDATE(M97,6))</f>
        <v/>
      </c>
      <c r="Q97" s="15" t="str">
        <f aca="false">IF(W97="","",IF(WEEKDAY(W97)=1,W97+1,W97))</f>
        <v/>
      </c>
      <c r="R97" s="13" t="str">
        <f aca="true">IF(Q97="","",IF(AND(N(K97)&gt;=3,G97&lt;&gt;"Perdido"),"Mover para Perdido",IF(Q97&lt;TODAY(),"Atrasado",IF(Q97=TODAY(),"Hoje","No prazo"))))</f>
        <v/>
      </c>
      <c r="S97" s="12"/>
      <c r="T97" s="12"/>
      <c r="U97" s="12"/>
      <c r="V97" s="7"/>
      <c r="W97" s="15" t="str">
        <f aca="true">IF(G97="","",IF(OR(G97="Novo contato",G97="Em conversa"),IF(J97="",TODAY(),J97+1),IF(G97="Avaliação marcada",IF(L97="",TODAY(),L97-1),IF(G97="Proposta enviada",IF(J97="",TODAY(),J97+2),IF(G97="Fechou pacote",IF(J97="",TODAY(),J97+7),IF(G97="Em tratamento",IF(M97="",TODAY(),IF(TODAY()&lt;=M97+1,M97+1,EDATE(M97,6)-30)),IF(G97="Pós-venda",IF(J97="",TODAY(),J97+7),IF(G97="Perdido",IF(J97="",TODAY(),J97+60),""))))))))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3" t="str">
        <f aca="false">IF(OR(E98="",E98="A completar",E98="Ainda não sabe"),"",IF(OR(E98="Limpeza de pele",E98="Peeling de diamante",E98="Microagulhamento"),"Rosto","Corpo"))</f>
        <v/>
      </c>
      <c r="G98" s="12"/>
      <c r="H98" s="12"/>
      <c r="I98" s="12"/>
      <c r="J98" s="14"/>
      <c r="K98" s="12"/>
      <c r="L98" s="14"/>
      <c r="M98" s="14"/>
      <c r="N98" s="12"/>
      <c r="O98" s="12"/>
      <c r="P98" s="15" t="str">
        <f aca="false">IF(M98="","",EDATE(M98,6))</f>
        <v/>
      </c>
      <c r="Q98" s="15" t="str">
        <f aca="false">IF(W98="","",IF(WEEKDAY(W98)=1,W98+1,W98))</f>
        <v/>
      </c>
      <c r="R98" s="13" t="str">
        <f aca="true">IF(Q98="","",IF(AND(N(K98)&gt;=3,G98&lt;&gt;"Perdido"),"Mover para Perdido",IF(Q98&lt;TODAY(),"Atrasado",IF(Q98=TODAY(),"Hoje","No prazo"))))</f>
        <v/>
      </c>
      <c r="S98" s="12"/>
      <c r="T98" s="12"/>
      <c r="U98" s="12"/>
      <c r="V98" s="7"/>
      <c r="W98" s="15" t="str">
        <f aca="true">IF(G98="","",IF(OR(G98="Novo contato",G98="Em conversa"),IF(J98="",TODAY(),J98+1),IF(G98="Avaliação marcada",IF(L98="",TODAY(),L98-1),IF(G98="Proposta enviada",IF(J98="",TODAY(),J98+2),IF(G98="Fechou pacote",IF(J98="",TODAY(),J98+7),IF(G98="Em tratamento",IF(M98="",TODAY(),IF(TODAY()&lt;=M98+1,M98+1,EDATE(M98,6)-30)),IF(G98="Pós-venda",IF(J98="",TODAY(),J98+7),IF(G98="Perdido",IF(J98="",TODAY(),J98+60),""))))))))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3" t="str">
        <f aca="false">IF(OR(E99="",E99="A completar",E99="Ainda não sabe"),"",IF(OR(E99="Limpeza de pele",E99="Peeling de diamante",E99="Microagulhamento"),"Rosto","Corpo"))</f>
        <v/>
      </c>
      <c r="G99" s="12"/>
      <c r="H99" s="12"/>
      <c r="I99" s="12"/>
      <c r="J99" s="14"/>
      <c r="K99" s="12"/>
      <c r="L99" s="14"/>
      <c r="M99" s="14"/>
      <c r="N99" s="12"/>
      <c r="O99" s="12"/>
      <c r="P99" s="15" t="str">
        <f aca="false">IF(M99="","",EDATE(M99,6))</f>
        <v/>
      </c>
      <c r="Q99" s="15" t="str">
        <f aca="false">IF(W99="","",IF(WEEKDAY(W99)=1,W99+1,W99))</f>
        <v/>
      </c>
      <c r="R99" s="13" t="str">
        <f aca="true">IF(Q99="","",IF(AND(N(K99)&gt;=3,G99&lt;&gt;"Perdido"),"Mover para Perdido",IF(Q99&lt;TODAY(),"Atrasado",IF(Q99=TODAY(),"Hoje","No prazo"))))</f>
        <v/>
      </c>
      <c r="S99" s="12"/>
      <c r="T99" s="12"/>
      <c r="U99" s="12"/>
      <c r="V99" s="7"/>
      <c r="W99" s="15" t="str">
        <f aca="true">IF(G99="","",IF(OR(G99="Novo contato",G99="Em conversa"),IF(J99="",TODAY(),J99+1),IF(G99="Avaliação marcada",IF(L99="",TODAY(),L99-1),IF(G99="Proposta enviada",IF(J99="",TODAY(),J99+2),IF(G99="Fechou pacote",IF(J99="",TODAY(),J99+7),IF(G99="Em tratamento",IF(M99="",TODAY(),IF(TODAY()&lt;=M99+1,M99+1,EDATE(M99,6)-30)),IF(G99="Pós-venda",IF(J99="",TODAY(),J99+7),IF(G99="Perdido",IF(J99="",TODAY(),J99+60),""))))))))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3" t="str">
        <f aca="false">IF(OR(E100="",E100="A completar",E100="Ainda não sabe"),"",IF(OR(E100="Limpeza de pele",E100="Peeling de diamante",E100="Microagulhamento"),"Rosto","Corpo"))</f>
        <v/>
      </c>
      <c r="G100" s="12"/>
      <c r="H100" s="12"/>
      <c r="I100" s="12"/>
      <c r="J100" s="14"/>
      <c r="K100" s="12"/>
      <c r="L100" s="14"/>
      <c r="M100" s="14"/>
      <c r="N100" s="12"/>
      <c r="O100" s="12"/>
      <c r="P100" s="15" t="str">
        <f aca="false">IF(M100="","",EDATE(M100,6))</f>
        <v/>
      </c>
      <c r="Q100" s="15" t="str">
        <f aca="false">IF(W100="","",IF(WEEKDAY(W100)=1,W100+1,W100))</f>
        <v/>
      </c>
      <c r="R100" s="13" t="str">
        <f aca="true">IF(Q100="","",IF(AND(N(K100)&gt;=3,G100&lt;&gt;"Perdido"),"Mover para Perdido",IF(Q100&lt;TODAY(),"Atrasado",IF(Q100=TODAY(),"Hoje","No prazo"))))</f>
        <v/>
      </c>
      <c r="S100" s="12"/>
      <c r="T100" s="12"/>
      <c r="U100" s="12"/>
      <c r="V100" s="7"/>
      <c r="W100" s="15" t="str">
        <f aca="true">IF(G100="","",IF(OR(G100="Novo contato",G100="Em conversa"),IF(J100="",TODAY(),J100+1),IF(G100="Avaliação marcada",IF(L100="",TODAY(),L100-1),IF(G100="Proposta enviada",IF(J100="",TODAY(),J100+2),IF(G100="Fechou pacote",IF(J100="",TODAY(),J100+7),IF(G100="Em tratamento",IF(M100="",TODAY(),IF(TODAY()&lt;=M100+1,M100+1,EDATE(M100,6)-30)),IF(G100="Pós-venda",IF(J100="",TODAY(),J100+7),IF(G100="Perdido",IF(J100="",TODAY(),J100+60),""))))))))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3" t="str">
        <f aca="false">IF(OR(E101="",E101="A completar",E101="Ainda não sabe"),"",IF(OR(E101="Limpeza de pele",E101="Peeling de diamante",E101="Microagulhamento"),"Rosto","Corpo"))</f>
        <v/>
      </c>
      <c r="G101" s="12"/>
      <c r="H101" s="12"/>
      <c r="I101" s="12"/>
      <c r="J101" s="14"/>
      <c r="K101" s="12"/>
      <c r="L101" s="14"/>
      <c r="M101" s="14"/>
      <c r="N101" s="12"/>
      <c r="O101" s="12"/>
      <c r="P101" s="15" t="str">
        <f aca="false">IF(M101="","",EDATE(M101,6))</f>
        <v/>
      </c>
      <c r="Q101" s="15" t="str">
        <f aca="false">IF(W101="","",IF(WEEKDAY(W101)=1,W101+1,W101))</f>
        <v/>
      </c>
      <c r="R101" s="13" t="str">
        <f aca="true">IF(Q101="","",IF(AND(N(K101)&gt;=3,G101&lt;&gt;"Perdido"),"Mover para Perdido",IF(Q101&lt;TODAY(),"Atrasado",IF(Q101=TODAY(),"Hoje","No prazo"))))</f>
        <v/>
      </c>
      <c r="S101" s="12"/>
      <c r="T101" s="12"/>
      <c r="U101" s="12"/>
      <c r="V101" s="7"/>
      <c r="W101" s="15" t="str">
        <f aca="true">IF(G101="","",IF(OR(G101="Novo contato",G101="Em conversa"),IF(J101="",TODAY(),J101+1),IF(G101="Avaliação marcada",IF(L101="",TODAY(),L101-1),IF(G101="Proposta enviada",IF(J101="",TODAY(),J101+2),IF(G101="Fechou pacote",IF(J101="",TODAY(),J101+7),IF(G101="Em tratamento",IF(M101="",TODAY(),IF(TODAY()&lt;=M101+1,M101+1,EDATE(M101,6)-30)),IF(G101="Pós-venda",IF(J101="",TODAY(),J101+7),IF(G101="Perdido",IF(J101="",TODAY(),J101+60),""))))))))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3" t="str">
        <f aca="false">IF(OR(E102="",E102="A completar",E102="Ainda não sabe"),"",IF(OR(E102="Limpeza de pele",E102="Peeling de diamante",E102="Microagulhamento"),"Rosto","Corpo"))</f>
        <v/>
      </c>
      <c r="G102" s="12"/>
      <c r="H102" s="12"/>
      <c r="I102" s="12"/>
      <c r="J102" s="14"/>
      <c r="K102" s="12"/>
      <c r="L102" s="14"/>
      <c r="M102" s="14"/>
      <c r="N102" s="12"/>
      <c r="O102" s="12"/>
      <c r="P102" s="15" t="str">
        <f aca="false">IF(M102="","",EDATE(M102,6))</f>
        <v/>
      </c>
      <c r="Q102" s="15" t="str">
        <f aca="false">IF(W102="","",IF(WEEKDAY(W102)=1,W102+1,W102))</f>
        <v/>
      </c>
      <c r="R102" s="13" t="str">
        <f aca="true">IF(Q102="","",IF(AND(N(K102)&gt;=3,G102&lt;&gt;"Perdido"),"Mover para Perdido",IF(Q102&lt;TODAY(),"Atrasado",IF(Q102=TODAY(),"Hoje","No prazo"))))</f>
        <v/>
      </c>
      <c r="S102" s="12"/>
      <c r="T102" s="12"/>
      <c r="U102" s="12"/>
      <c r="V102" s="7"/>
      <c r="W102" s="15" t="str">
        <f aca="true">IF(G102="","",IF(OR(G102="Novo contato",G102="Em conversa"),IF(J102="",TODAY(),J102+1),IF(G102="Avaliação marcada",IF(L102="",TODAY(),L102-1),IF(G102="Proposta enviada",IF(J102="",TODAY(),J102+2),IF(G102="Fechou pacote",IF(J102="",TODAY(),J102+7),IF(G102="Em tratamento",IF(M102="",TODAY(),IF(TODAY()&lt;=M102+1,M102+1,EDATE(M102,6)-30)),IF(G102="Pós-venda",IF(J102="",TODAY(),J102+7),IF(G102="Perdido",IF(J102="",TODAY(),J102+60),""))))))))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3" t="str">
        <f aca="false">IF(OR(E103="",E103="A completar",E103="Ainda não sabe"),"",IF(OR(E103="Limpeza de pele",E103="Peeling de diamante",E103="Microagulhamento"),"Rosto","Corpo"))</f>
        <v/>
      </c>
      <c r="G103" s="12"/>
      <c r="H103" s="12"/>
      <c r="I103" s="12"/>
      <c r="J103" s="14"/>
      <c r="K103" s="12"/>
      <c r="L103" s="14"/>
      <c r="M103" s="14"/>
      <c r="N103" s="12"/>
      <c r="O103" s="12"/>
      <c r="P103" s="15" t="str">
        <f aca="false">IF(M103="","",EDATE(M103,6))</f>
        <v/>
      </c>
      <c r="Q103" s="15" t="str">
        <f aca="false">IF(W103="","",IF(WEEKDAY(W103)=1,W103+1,W103))</f>
        <v/>
      </c>
      <c r="R103" s="13" t="str">
        <f aca="true">IF(Q103="","",IF(AND(N(K103)&gt;=3,G103&lt;&gt;"Perdido"),"Mover para Perdido",IF(Q103&lt;TODAY(),"Atrasado",IF(Q103=TODAY(),"Hoje","No prazo"))))</f>
        <v/>
      </c>
      <c r="S103" s="12"/>
      <c r="T103" s="12"/>
      <c r="U103" s="12"/>
      <c r="V103" s="7"/>
      <c r="W103" s="15" t="str">
        <f aca="true">IF(G103="","",IF(OR(G103="Novo contato",G103="Em conversa"),IF(J103="",TODAY(),J103+1),IF(G103="Avaliação marcada",IF(L103="",TODAY(),L103-1),IF(G103="Proposta enviada",IF(J103="",TODAY(),J103+2),IF(G103="Fechou pacote",IF(J103="",TODAY(),J103+7),IF(G103="Em tratamento",IF(M103="",TODAY(),IF(TODAY()&lt;=M103+1,M103+1,EDATE(M103,6)-30)),IF(G103="Pós-venda",IF(J103="",TODAY(),J103+7),IF(G103="Perdido",IF(J103="",TODAY(),J103+60),""))))))))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3" t="str">
        <f aca="false">IF(OR(E104="",E104="A completar",E104="Ainda não sabe"),"",IF(OR(E104="Limpeza de pele",E104="Peeling de diamante",E104="Microagulhamento"),"Rosto","Corpo"))</f>
        <v/>
      </c>
      <c r="G104" s="12"/>
      <c r="H104" s="12"/>
      <c r="I104" s="12"/>
      <c r="J104" s="14"/>
      <c r="K104" s="12"/>
      <c r="L104" s="14"/>
      <c r="M104" s="14"/>
      <c r="N104" s="12"/>
      <c r="O104" s="12"/>
      <c r="P104" s="15" t="str">
        <f aca="false">IF(M104="","",EDATE(M104,6))</f>
        <v/>
      </c>
      <c r="Q104" s="15" t="str">
        <f aca="false">IF(W104="","",IF(WEEKDAY(W104)=1,W104+1,W104))</f>
        <v/>
      </c>
      <c r="R104" s="13" t="str">
        <f aca="true">IF(Q104="","",IF(AND(N(K104)&gt;=3,G104&lt;&gt;"Perdido"),"Mover para Perdido",IF(Q104&lt;TODAY(),"Atrasado",IF(Q104=TODAY(),"Hoje","No prazo"))))</f>
        <v/>
      </c>
      <c r="S104" s="12"/>
      <c r="T104" s="12"/>
      <c r="U104" s="12"/>
      <c r="V104" s="7"/>
      <c r="W104" s="15" t="str">
        <f aca="true">IF(G104="","",IF(OR(G104="Novo contato",G104="Em conversa"),IF(J104="",TODAY(),J104+1),IF(G104="Avaliação marcada",IF(L104="",TODAY(),L104-1),IF(G104="Proposta enviada",IF(J104="",TODAY(),J104+2),IF(G104="Fechou pacote",IF(J104="",TODAY(),J104+7),IF(G104="Em tratamento",IF(M104="",TODAY(),IF(TODAY()&lt;=M104+1,M104+1,EDATE(M104,6)-30)),IF(G104="Pós-venda",IF(J104="",TODAY(),J104+7),IF(G104="Perdido",IF(J104="",TODAY(),J104+60),""))))))))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3" t="str">
        <f aca="false">IF(OR(E105="",E105="A completar",E105="Ainda não sabe"),"",IF(OR(E105="Limpeza de pele",E105="Peeling de diamante",E105="Microagulhamento"),"Rosto","Corpo"))</f>
        <v/>
      </c>
      <c r="G105" s="12"/>
      <c r="H105" s="12"/>
      <c r="I105" s="12"/>
      <c r="J105" s="14"/>
      <c r="K105" s="12"/>
      <c r="L105" s="14"/>
      <c r="M105" s="14"/>
      <c r="N105" s="12"/>
      <c r="O105" s="12"/>
      <c r="P105" s="15" t="str">
        <f aca="false">IF(M105="","",EDATE(M105,6))</f>
        <v/>
      </c>
      <c r="Q105" s="15" t="str">
        <f aca="false">IF(W105="","",IF(WEEKDAY(W105)=1,W105+1,W105))</f>
        <v/>
      </c>
      <c r="R105" s="13" t="str">
        <f aca="true">IF(Q105="","",IF(AND(N(K105)&gt;=3,G105&lt;&gt;"Perdido"),"Mover para Perdido",IF(Q105&lt;TODAY(),"Atrasado",IF(Q105=TODAY(),"Hoje","No prazo"))))</f>
        <v/>
      </c>
      <c r="S105" s="12"/>
      <c r="T105" s="12"/>
      <c r="U105" s="12"/>
      <c r="V105" s="7"/>
      <c r="W105" s="15" t="str">
        <f aca="true">IF(G105="","",IF(OR(G105="Novo contato",G105="Em conversa"),IF(J105="",TODAY(),J105+1),IF(G105="Avaliação marcada",IF(L105="",TODAY(),L105-1),IF(G105="Proposta enviada",IF(J105="",TODAY(),J105+2),IF(G105="Fechou pacote",IF(J105="",TODAY(),J105+7),IF(G105="Em tratamento",IF(M105="",TODAY(),IF(TODAY()&lt;=M105+1,M105+1,EDATE(M105,6)-30)),IF(G105="Pós-venda",IF(J105="",TODAY(),J105+7),IF(G105="Perdido",IF(J105="",TODAY(),J105+60),""))))))))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3" t="str">
        <f aca="false">IF(OR(E106="",E106="A completar",E106="Ainda não sabe"),"",IF(OR(E106="Limpeza de pele",E106="Peeling de diamante",E106="Microagulhamento"),"Rosto","Corpo"))</f>
        <v/>
      </c>
      <c r="G106" s="12"/>
      <c r="H106" s="12"/>
      <c r="I106" s="12"/>
      <c r="J106" s="14"/>
      <c r="K106" s="12"/>
      <c r="L106" s="14"/>
      <c r="M106" s="14"/>
      <c r="N106" s="12"/>
      <c r="O106" s="12"/>
      <c r="P106" s="15" t="str">
        <f aca="false">IF(M106="","",EDATE(M106,6))</f>
        <v/>
      </c>
      <c r="Q106" s="15" t="str">
        <f aca="false">IF(W106="","",IF(WEEKDAY(W106)=1,W106+1,W106))</f>
        <v/>
      </c>
      <c r="R106" s="13" t="str">
        <f aca="true">IF(Q106="","",IF(AND(N(K106)&gt;=3,G106&lt;&gt;"Perdido"),"Mover para Perdido",IF(Q106&lt;TODAY(),"Atrasado",IF(Q106=TODAY(),"Hoje","No prazo"))))</f>
        <v/>
      </c>
      <c r="S106" s="12"/>
      <c r="T106" s="12"/>
      <c r="U106" s="12"/>
      <c r="V106" s="7"/>
      <c r="W106" s="15" t="str">
        <f aca="true">IF(G106="","",IF(OR(G106="Novo contato",G106="Em conversa"),IF(J106="",TODAY(),J106+1),IF(G106="Avaliação marcada",IF(L106="",TODAY(),L106-1),IF(G106="Proposta enviada",IF(J106="",TODAY(),J106+2),IF(G106="Fechou pacote",IF(J106="",TODAY(),J106+7),IF(G106="Em tratamento",IF(M106="",TODAY(),IF(TODAY()&lt;=M106+1,M106+1,EDATE(M106,6)-30)),IF(G106="Pós-venda",IF(J106="",TODAY(),J106+7),IF(G106="Perdido",IF(J106="",TODAY(),J106+60),""))))))))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3" t="str">
        <f aca="false">IF(OR(E107="",E107="A completar",E107="Ainda não sabe"),"",IF(OR(E107="Limpeza de pele",E107="Peeling de diamante",E107="Microagulhamento"),"Rosto","Corpo"))</f>
        <v/>
      </c>
      <c r="G107" s="12"/>
      <c r="H107" s="12"/>
      <c r="I107" s="12"/>
      <c r="J107" s="14"/>
      <c r="K107" s="12"/>
      <c r="L107" s="14"/>
      <c r="M107" s="14"/>
      <c r="N107" s="12"/>
      <c r="O107" s="12"/>
      <c r="P107" s="15" t="str">
        <f aca="false">IF(M107="","",EDATE(M107,6))</f>
        <v/>
      </c>
      <c r="Q107" s="15" t="str">
        <f aca="false">IF(W107="","",IF(WEEKDAY(W107)=1,W107+1,W107))</f>
        <v/>
      </c>
      <c r="R107" s="13" t="str">
        <f aca="true">IF(Q107="","",IF(AND(N(K107)&gt;=3,G107&lt;&gt;"Perdido"),"Mover para Perdido",IF(Q107&lt;TODAY(),"Atrasado",IF(Q107=TODAY(),"Hoje","No prazo"))))</f>
        <v/>
      </c>
      <c r="S107" s="12"/>
      <c r="T107" s="12"/>
      <c r="U107" s="12"/>
      <c r="V107" s="7"/>
      <c r="W107" s="15" t="str">
        <f aca="true">IF(G107="","",IF(OR(G107="Novo contato",G107="Em conversa"),IF(J107="",TODAY(),J107+1),IF(G107="Avaliação marcada",IF(L107="",TODAY(),L107-1),IF(G107="Proposta enviada",IF(J107="",TODAY(),J107+2),IF(G107="Fechou pacote",IF(J107="",TODAY(),J107+7),IF(G107="Em tratamento",IF(M107="",TODAY(),IF(TODAY()&lt;=M107+1,M107+1,EDATE(M107,6)-30)),IF(G107="Pós-venda",IF(J107="",TODAY(),J107+7),IF(G107="Perdido",IF(J107="",TODAY(),J107+60),""))))))))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3" t="str">
        <f aca="false">IF(OR(E108="",E108="A completar",E108="Ainda não sabe"),"",IF(OR(E108="Limpeza de pele",E108="Peeling de diamante",E108="Microagulhamento"),"Rosto","Corpo"))</f>
        <v/>
      </c>
      <c r="G108" s="12"/>
      <c r="H108" s="12"/>
      <c r="I108" s="12"/>
      <c r="J108" s="14"/>
      <c r="K108" s="12"/>
      <c r="L108" s="14"/>
      <c r="M108" s="14"/>
      <c r="N108" s="12"/>
      <c r="O108" s="12"/>
      <c r="P108" s="15" t="str">
        <f aca="false">IF(M108="","",EDATE(M108,6))</f>
        <v/>
      </c>
      <c r="Q108" s="15" t="str">
        <f aca="false">IF(W108="","",IF(WEEKDAY(W108)=1,W108+1,W108))</f>
        <v/>
      </c>
      <c r="R108" s="13" t="str">
        <f aca="true">IF(Q108="","",IF(AND(N(K108)&gt;=3,G108&lt;&gt;"Perdido"),"Mover para Perdido",IF(Q108&lt;TODAY(),"Atrasado",IF(Q108=TODAY(),"Hoje","No prazo"))))</f>
        <v/>
      </c>
      <c r="S108" s="12"/>
      <c r="T108" s="12"/>
      <c r="U108" s="12"/>
      <c r="V108" s="7"/>
      <c r="W108" s="15" t="str">
        <f aca="true">IF(G108="","",IF(OR(G108="Novo contato",G108="Em conversa"),IF(J108="",TODAY(),J108+1),IF(G108="Avaliação marcada",IF(L108="",TODAY(),L108-1),IF(G108="Proposta enviada",IF(J108="",TODAY(),J108+2),IF(G108="Fechou pacote",IF(J108="",TODAY(),J108+7),IF(G108="Em tratamento",IF(M108="",TODAY(),IF(TODAY()&lt;=M108+1,M108+1,EDATE(M108,6)-30)),IF(G108="Pós-venda",IF(J108="",TODAY(),J108+7),IF(G108="Perdido",IF(J108="",TODAY(),J108+60),""))))))))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3" t="str">
        <f aca="false">IF(OR(E109="",E109="A completar",E109="Ainda não sabe"),"",IF(OR(E109="Limpeza de pele",E109="Peeling de diamante",E109="Microagulhamento"),"Rosto","Corpo"))</f>
        <v/>
      </c>
      <c r="G109" s="12"/>
      <c r="H109" s="12"/>
      <c r="I109" s="12"/>
      <c r="J109" s="14"/>
      <c r="K109" s="12"/>
      <c r="L109" s="14"/>
      <c r="M109" s="14"/>
      <c r="N109" s="12"/>
      <c r="O109" s="12"/>
      <c r="P109" s="15" t="str">
        <f aca="false">IF(M109="","",EDATE(M109,6))</f>
        <v/>
      </c>
      <c r="Q109" s="15" t="str">
        <f aca="false">IF(W109="","",IF(WEEKDAY(W109)=1,W109+1,W109))</f>
        <v/>
      </c>
      <c r="R109" s="13" t="str">
        <f aca="true">IF(Q109="","",IF(AND(N(K109)&gt;=3,G109&lt;&gt;"Perdido"),"Mover para Perdido",IF(Q109&lt;TODAY(),"Atrasado",IF(Q109=TODAY(),"Hoje","No prazo"))))</f>
        <v/>
      </c>
      <c r="S109" s="12"/>
      <c r="T109" s="12"/>
      <c r="U109" s="12"/>
      <c r="V109" s="7"/>
      <c r="W109" s="15" t="str">
        <f aca="true">IF(G109="","",IF(OR(G109="Novo contato",G109="Em conversa"),IF(J109="",TODAY(),J109+1),IF(G109="Avaliação marcada",IF(L109="",TODAY(),L109-1),IF(G109="Proposta enviada",IF(J109="",TODAY(),J109+2),IF(G109="Fechou pacote",IF(J109="",TODAY(),J109+7),IF(G109="Em tratamento",IF(M109="",TODAY(),IF(TODAY()&lt;=M109+1,M109+1,EDATE(M109,6)-30)),IF(G109="Pós-venda",IF(J109="",TODAY(),J109+7),IF(G109="Perdido",IF(J109="",TODAY(),J109+60),""))))))))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3" t="str">
        <f aca="false">IF(OR(E110="",E110="A completar",E110="Ainda não sabe"),"",IF(OR(E110="Limpeza de pele",E110="Peeling de diamante",E110="Microagulhamento"),"Rosto","Corpo"))</f>
        <v/>
      </c>
      <c r="G110" s="12"/>
      <c r="H110" s="12"/>
      <c r="I110" s="12"/>
      <c r="J110" s="14"/>
      <c r="K110" s="12"/>
      <c r="L110" s="14"/>
      <c r="M110" s="14"/>
      <c r="N110" s="12"/>
      <c r="O110" s="12"/>
      <c r="P110" s="15" t="str">
        <f aca="false">IF(M110="","",EDATE(M110,6))</f>
        <v/>
      </c>
      <c r="Q110" s="15" t="str">
        <f aca="false">IF(W110="","",IF(WEEKDAY(W110)=1,W110+1,W110))</f>
        <v/>
      </c>
      <c r="R110" s="13" t="str">
        <f aca="true">IF(Q110="","",IF(AND(N(K110)&gt;=3,G110&lt;&gt;"Perdido"),"Mover para Perdido",IF(Q110&lt;TODAY(),"Atrasado",IF(Q110=TODAY(),"Hoje","No prazo"))))</f>
        <v/>
      </c>
      <c r="S110" s="12"/>
      <c r="T110" s="12"/>
      <c r="U110" s="12"/>
      <c r="V110" s="7"/>
      <c r="W110" s="15" t="str">
        <f aca="true">IF(G110="","",IF(OR(G110="Novo contato",G110="Em conversa"),IF(J110="",TODAY(),J110+1),IF(G110="Avaliação marcada",IF(L110="",TODAY(),L110-1),IF(G110="Proposta enviada",IF(J110="",TODAY(),J110+2),IF(G110="Fechou pacote",IF(J110="",TODAY(),J110+7),IF(G110="Em tratamento",IF(M110="",TODAY(),IF(TODAY()&lt;=M110+1,M110+1,EDATE(M110,6)-30)),IF(G110="Pós-venda",IF(J110="",TODAY(),J110+7),IF(G110="Perdido",IF(J110="",TODAY(),J110+60),""))))))))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3" t="str">
        <f aca="false">IF(OR(E111="",E111="A completar",E111="Ainda não sabe"),"",IF(OR(E111="Limpeza de pele",E111="Peeling de diamante",E111="Microagulhamento"),"Rosto","Corpo"))</f>
        <v/>
      </c>
      <c r="G111" s="12"/>
      <c r="H111" s="12"/>
      <c r="I111" s="12"/>
      <c r="J111" s="14"/>
      <c r="K111" s="12"/>
      <c r="L111" s="14"/>
      <c r="M111" s="14"/>
      <c r="N111" s="12"/>
      <c r="O111" s="12"/>
      <c r="P111" s="15" t="str">
        <f aca="false">IF(M111="","",EDATE(M111,6))</f>
        <v/>
      </c>
      <c r="Q111" s="15" t="str">
        <f aca="false">IF(W111="","",IF(WEEKDAY(W111)=1,W111+1,W111))</f>
        <v/>
      </c>
      <c r="R111" s="13" t="str">
        <f aca="true">IF(Q111="","",IF(AND(N(K111)&gt;=3,G111&lt;&gt;"Perdido"),"Mover para Perdido",IF(Q111&lt;TODAY(),"Atrasado",IF(Q111=TODAY(),"Hoje","No prazo"))))</f>
        <v/>
      </c>
      <c r="S111" s="12"/>
      <c r="T111" s="12"/>
      <c r="U111" s="12"/>
      <c r="V111" s="7"/>
      <c r="W111" s="15" t="str">
        <f aca="true">IF(G111="","",IF(OR(G111="Novo contato",G111="Em conversa"),IF(J111="",TODAY(),J111+1),IF(G111="Avaliação marcada",IF(L111="",TODAY(),L111-1),IF(G111="Proposta enviada",IF(J111="",TODAY(),J111+2),IF(G111="Fechou pacote",IF(J111="",TODAY(),J111+7),IF(G111="Em tratamento",IF(M111="",TODAY(),IF(TODAY()&lt;=M111+1,M111+1,EDATE(M111,6)-30)),IF(G111="Pós-venda",IF(J111="",TODAY(),J111+7),IF(G111="Perdido",IF(J111="",TODAY(),J111+60),""))))))))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3" t="str">
        <f aca="false">IF(OR(E112="",E112="A completar",E112="Ainda não sabe"),"",IF(OR(E112="Limpeza de pele",E112="Peeling de diamante",E112="Microagulhamento"),"Rosto","Corpo"))</f>
        <v/>
      </c>
      <c r="G112" s="12"/>
      <c r="H112" s="12"/>
      <c r="I112" s="12"/>
      <c r="J112" s="14"/>
      <c r="K112" s="12"/>
      <c r="L112" s="14"/>
      <c r="M112" s="14"/>
      <c r="N112" s="12"/>
      <c r="O112" s="12"/>
      <c r="P112" s="15" t="str">
        <f aca="false">IF(M112="","",EDATE(M112,6))</f>
        <v/>
      </c>
      <c r="Q112" s="15" t="str">
        <f aca="false">IF(W112="","",IF(WEEKDAY(W112)=1,W112+1,W112))</f>
        <v/>
      </c>
      <c r="R112" s="13" t="str">
        <f aca="true">IF(Q112="","",IF(AND(N(K112)&gt;=3,G112&lt;&gt;"Perdido"),"Mover para Perdido",IF(Q112&lt;TODAY(),"Atrasado",IF(Q112=TODAY(),"Hoje","No prazo"))))</f>
        <v/>
      </c>
      <c r="S112" s="12"/>
      <c r="T112" s="12"/>
      <c r="U112" s="12"/>
      <c r="V112" s="7"/>
      <c r="W112" s="15" t="str">
        <f aca="true">IF(G112="","",IF(OR(G112="Novo contato",G112="Em conversa"),IF(J112="",TODAY(),J112+1),IF(G112="Avaliação marcada",IF(L112="",TODAY(),L112-1),IF(G112="Proposta enviada",IF(J112="",TODAY(),J112+2),IF(G112="Fechou pacote",IF(J112="",TODAY(),J112+7),IF(G112="Em tratamento",IF(M112="",TODAY(),IF(TODAY()&lt;=M112+1,M112+1,EDATE(M112,6)-30)),IF(G112="Pós-venda",IF(J112="",TODAY(),J112+7),IF(G112="Perdido",IF(J112="",TODAY(),J112+60),""))))))))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3" t="str">
        <f aca="false">IF(OR(E113="",E113="A completar",E113="Ainda não sabe"),"",IF(OR(E113="Limpeza de pele",E113="Peeling de diamante",E113="Microagulhamento"),"Rosto","Corpo"))</f>
        <v/>
      </c>
      <c r="G113" s="12"/>
      <c r="H113" s="12"/>
      <c r="I113" s="12"/>
      <c r="J113" s="14"/>
      <c r="K113" s="12"/>
      <c r="L113" s="14"/>
      <c r="M113" s="14"/>
      <c r="N113" s="12"/>
      <c r="O113" s="12"/>
      <c r="P113" s="15" t="str">
        <f aca="false">IF(M113="","",EDATE(M113,6))</f>
        <v/>
      </c>
      <c r="Q113" s="15" t="str">
        <f aca="false">IF(W113="","",IF(WEEKDAY(W113)=1,W113+1,W113))</f>
        <v/>
      </c>
      <c r="R113" s="13" t="str">
        <f aca="true">IF(Q113="","",IF(AND(N(K113)&gt;=3,G113&lt;&gt;"Perdido"),"Mover para Perdido",IF(Q113&lt;TODAY(),"Atrasado",IF(Q113=TODAY(),"Hoje","No prazo"))))</f>
        <v/>
      </c>
      <c r="S113" s="12"/>
      <c r="T113" s="12"/>
      <c r="U113" s="12"/>
      <c r="V113" s="7"/>
      <c r="W113" s="15" t="str">
        <f aca="true">IF(G113="","",IF(OR(G113="Novo contato",G113="Em conversa"),IF(J113="",TODAY(),J113+1),IF(G113="Avaliação marcada",IF(L113="",TODAY(),L113-1),IF(G113="Proposta enviada",IF(J113="",TODAY(),J113+2),IF(G113="Fechou pacote",IF(J113="",TODAY(),J113+7),IF(G113="Em tratamento",IF(M113="",TODAY(),IF(TODAY()&lt;=M113+1,M113+1,EDATE(M113,6)-30)),IF(G113="Pós-venda",IF(J113="",TODAY(),J113+7),IF(G113="Perdido",IF(J113="",TODAY(),J113+60),""))))))))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3" t="str">
        <f aca="false">IF(OR(E114="",E114="A completar",E114="Ainda não sabe"),"",IF(OR(E114="Limpeza de pele",E114="Peeling de diamante",E114="Microagulhamento"),"Rosto","Corpo"))</f>
        <v/>
      </c>
      <c r="G114" s="12"/>
      <c r="H114" s="12"/>
      <c r="I114" s="12"/>
      <c r="J114" s="14"/>
      <c r="K114" s="12"/>
      <c r="L114" s="14"/>
      <c r="M114" s="14"/>
      <c r="N114" s="12"/>
      <c r="O114" s="12"/>
      <c r="P114" s="15" t="str">
        <f aca="false">IF(M114="","",EDATE(M114,6))</f>
        <v/>
      </c>
      <c r="Q114" s="15" t="str">
        <f aca="false">IF(W114="","",IF(WEEKDAY(W114)=1,W114+1,W114))</f>
        <v/>
      </c>
      <c r="R114" s="13" t="str">
        <f aca="true">IF(Q114="","",IF(AND(N(K114)&gt;=3,G114&lt;&gt;"Perdido"),"Mover para Perdido",IF(Q114&lt;TODAY(),"Atrasado",IF(Q114=TODAY(),"Hoje","No prazo"))))</f>
        <v/>
      </c>
      <c r="S114" s="12"/>
      <c r="T114" s="12"/>
      <c r="U114" s="12"/>
      <c r="V114" s="7"/>
      <c r="W114" s="15" t="str">
        <f aca="true">IF(G114="","",IF(OR(G114="Novo contato",G114="Em conversa"),IF(J114="",TODAY(),J114+1),IF(G114="Avaliação marcada",IF(L114="",TODAY(),L114-1),IF(G114="Proposta enviada",IF(J114="",TODAY(),J114+2),IF(G114="Fechou pacote",IF(J114="",TODAY(),J114+7),IF(G114="Em tratamento",IF(M114="",TODAY(),IF(TODAY()&lt;=M114+1,M114+1,EDATE(M114,6)-30)),IF(G114="Pós-venda",IF(J114="",TODAY(),J114+7),IF(G114="Perdido",IF(J114="",TODAY(),J114+60),""))))))))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3" t="str">
        <f aca="false">IF(OR(E115="",E115="A completar",E115="Ainda não sabe"),"",IF(OR(E115="Limpeza de pele",E115="Peeling de diamante",E115="Microagulhamento"),"Rosto","Corpo"))</f>
        <v/>
      </c>
      <c r="G115" s="12"/>
      <c r="H115" s="12"/>
      <c r="I115" s="12"/>
      <c r="J115" s="14"/>
      <c r="K115" s="12"/>
      <c r="L115" s="14"/>
      <c r="M115" s="14"/>
      <c r="N115" s="12"/>
      <c r="O115" s="12"/>
      <c r="P115" s="15" t="str">
        <f aca="false">IF(M115="","",EDATE(M115,6))</f>
        <v/>
      </c>
      <c r="Q115" s="15" t="str">
        <f aca="false">IF(W115="","",IF(WEEKDAY(W115)=1,W115+1,W115))</f>
        <v/>
      </c>
      <c r="R115" s="13" t="str">
        <f aca="true">IF(Q115="","",IF(AND(N(K115)&gt;=3,G115&lt;&gt;"Perdido"),"Mover para Perdido",IF(Q115&lt;TODAY(),"Atrasado",IF(Q115=TODAY(),"Hoje","No prazo"))))</f>
        <v/>
      </c>
      <c r="S115" s="12"/>
      <c r="T115" s="12"/>
      <c r="U115" s="12"/>
      <c r="V115" s="7"/>
      <c r="W115" s="15" t="str">
        <f aca="true">IF(G115="","",IF(OR(G115="Novo contato",G115="Em conversa"),IF(J115="",TODAY(),J115+1),IF(G115="Avaliação marcada",IF(L115="",TODAY(),L115-1),IF(G115="Proposta enviada",IF(J115="",TODAY(),J115+2),IF(G115="Fechou pacote",IF(J115="",TODAY(),J115+7),IF(G115="Em tratamento",IF(M115="",TODAY(),IF(TODAY()&lt;=M115+1,M115+1,EDATE(M115,6)-30)),IF(G115="Pós-venda",IF(J115="",TODAY(),J115+7),IF(G115="Perdido",IF(J115="",TODAY(),J115+60),""))))))))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3" t="str">
        <f aca="false">IF(OR(E116="",E116="A completar",E116="Ainda não sabe"),"",IF(OR(E116="Limpeza de pele",E116="Peeling de diamante",E116="Microagulhamento"),"Rosto","Corpo"))</f>
        <v/>
      </c>
      <c r="G116" s="12"/>
      <c r="H116" s="12"/>
      <c r="I116" s="12"/>
      <c r="J116" s="14"/>
      <c r="K116" s="12"/>
      <c r="L116" s="14"/>
      <c r="M116" s="14"/>
      <c r="N116" s="12"/>
      <c r="O116" s="12"/>
      <c r="P116" s="15" t="str">
        <f aca="false">IF(M116="","",EDATE(M116,6))</f>
        <v/>
      </c>
      <c r="Q116" s="15" t="str">
        <f aca="false">IF(W116="","",IF(WEEKDAY(W116)=1,W116+1,W116))</f>
        <v/>
      </c>
      <c r="R116" s="13" t="str">
        <f aca="true">IF(Q116="","",IF(AND(N(K116)&gt;=3,G116&lt;&gt;"Perdido"),"Mover para Perdido",IF(Q116&lt;TODAY(),"Atrasado",IF(Q116=TODAY(),"Hoje","No prazo"))))</f>
        <v/>
      </c>
      <c r="S116" s="12"/>
      <c r="T116" s="12"/>
      <c r="U116" s="12"/>
      <c r="V116" s="7"/>
      <c r="W116" s="15" t="str">
        <f aca="true">IF(G116="","",IF(OR(G116="Novo contato",G116="Em conversa"),IF(J116="",TODAY(),J116+1),IF(G116="Avaliação marcada",IF(L116="",TODAY(),L116-1),IF(G116="Proposta enviada",IF(J116="",TODAY(),J116+2),IF(G116="Fechou pacote",IF(J116="",TODAY(),J116+7),IF(G116="Em tratamento",IF(M116="",TODAY(),IF(TODAY()&lt;=M116+1,M116+1,EDATE(M116,6)-30)),IF(G116="Pós-venda",IF(J116="",TODAY(),J116+7),IF(G116="Perdido",IF(J116="",TODAY(),J116+60),""))))))))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3" t="str">
        <f aca="false">IF(OR(E117="",E117="A completar",E117="Ainda não sabe"),"",IF(OR(E117="Limpeza de pele",E117="Peeling de diamante",E117="Microagulhamento"),"Rosto","Corpo"))</f>
        <v/>
      </c>
      <c r="G117" s="12"/>
      <c r="H117" s="12"/>
      <c r="I117" s="12"/>
      <c r="J117" s="14"/>
      <c r="K117" s="12"/>
      <c r="L117" s="14"/>
      <c r="M117" s="14"/>
      <c r="N117" s="12"/>
      <c r="O117" s="12"/>
      <c r="P117" s="15" t="str">
        <f aca="false">IF(M117="","",EDATE(M117,6))</f>
        <v/>
      </c>
      <c r="Q117" s="15" t="str">
        <f aca="false">IF(W117="","",IF(WEEKDAY(W117)=1,W117+1,W117))</f>
        <v/>
      </c>
      <c r="R117" s="13" t="str">
        <f aca="true">IF(Q117="","",IF(AND(N(K117)&gt;=3,G117&lt;&gt;"Perdido"),"Mover para Perdido",IF(Q117&lt;TODAY(),"Atrasado",IF(Q117=TODAY(),"Hoje","No prazo"))))</f>
        <v/>
      </c>
      <c r="S117" s="12"/>
      <c r="T117" s="12"/>
      <c r="U117" s="12"/>
      <c r="V117" s="7"/>
      <c r="W117" s="15" t="str">
        <f aca="true">IF(G117="","",IF(OR(G117="Novo contato",G117="Em conversa"),IF(J117="",TODAY(),J117+1),IF(G117="Avaliação marcada",IF(L117="",TODAY(),L117-1),IF(G117="Proposta enviada",IF(J117="",TODAY(),J117+2),IF(G117="Fechou pacote",IF(J117="",TODAY(),J117+7),IF(G117="Em tratamento",IF(M117="",TODAY(),IF(TODAY()&lt;=M117+1,M117+1,EDATE(M117,6)-30)),IF(G117="Pós-venda",IF(J117="",TODAY(),J117+7),IF(G117="Perdido",IF(J117="",TODAY(),J117+60),""))))))))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3" t="str">
        <f aca="false">IF(OR(E118="",E118="A completar",E118="Ainda não sabe"),"",IF(OR(E118="Limpeza de pele",E118="Peeling de diamante",E118="Microagulhamento"),"Rosto","Corpo"))</f>
        <v/>
      </c>
      <c r="G118" s="12"/>
      <c r="H118" s="12"/>
      <c r="I118" s="12"/>
      <c r="J118" s="14"/>
      <c r="K118" s="12"/>
      <c r="L118" s="14"/>
      <c r="M118" s="14"/>
      <c r="N118" s="12"/>
      <c r="O118" s="12"/>
      <c r="P118" s="15" t="str">
        <f aca="false">IF(M118="","",EDATE(M118,6))</f>
        <v/>
      </c>
      <c r="Q118" s="15" t="str">
        <f aca="false">IF(W118="","",IF(WEEKDAY(W118)=1,W118+1,W118))</f>
        <v/>
      </c>
      <c r="R118" s="13" t="str">
        <f aca="true">IF(Q118="","",IF(AND(N(K118)&gt;=3,G118&lt;&gt;"Perdido"),"Mover para Perdido",IF(Q118&lt;TODAY(),"Atrasado",IF(Q118=TODAY(),"Hoje","No prazo"))))</f>
        <v/>
      </c>
      <c r="S118" s="12"/>
      <c r="T118" s="12"/>
      <c r="U118" s="12"/>
      <c r="V118" s="7"/>
      <c r="W118" s="15" t="str">
        <f aca="true">IF(G118="","",IF(OR(G118="Novo contato",G118="Em conversa"),IF(J118="",TODAY(),J118+1),IF(G118="Avaliação marcada",IF(L118="",TODAY(),L118-1),IF(G118="Proposta enviada",IF(J118="",TODAY(),J118+2),IF(G118="Fechou pacote",IF(J118="",TODAY(),J118+7),IF(G118="Em tratamento",IF(M118="",TODAY(),IF(TODAY()&lt;=M118+1,M118+1,EDATE(M118,6)-30)),IF(G118="Pós-venda",IF(J118="",TODAY(),J118+7),IF(G118="Perdido",IF(J118="",TODAY(),J118+60),""))))))))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3" t="str">
        <f aca="false">IF(OR(E119="",E119="A completar",E119="Ainda não sabe"),"",IF(OR(E119="Limpeza de pele",E119="Peeling de diamante",E119="Microagulhamento"),"Rosto","Corpo"))</f>
        <v/>
      </c>
      <c r="G119" s="12"/>
      <c r="H119" s="12"/>
      <c r="I119" s="12"/>
      <c r="J119" s="14"/>
      <c r="K119" s="12"/>
      <c r="L119" s="14"/>
      <c r="M119" s="14"/>
      <c r="N119" s="12"/>
      <c r="O119" s="12"/>
      <c r="P119" s="15" t="str">
        <f aca="false">IF(M119="","",EDATE(M119,6))</f>
        <v/>
      </c>
      <c r="Q119" s="15" t="str">
        <f aca="false">IF(W119="","",IF(WEEKDAY(W119)=1,W119+1,W119))</f>
        <v/>
      </c>
      <c r="R119" s="13" t="str">
        <f aca="true">IF(Q119="","",IF(AND(N(K119)&gt;=3,G119&lt;&gt;"Perdido"),"Mover para Perdido",IF(Q119&lt;TODAY(),"Atrasado",IF(Q119=TODAY(),"Hoje","No prazo"))))</f>
        <v/>
      </c>
      <c r="S119" s="12"/>
      <c r="T119" s="12"/>
      <c r="U119" s="12"/>
      <c r="V119" s="7"/>
      <c r="W119" s="15" t="str">
        <f aca="true">IF(G119="","",IF(OR(G119="Novo contato",G119="Em conversa"),IF(J119="",TODAY(),J119+1),IF(G119="Avaliação marcada",IF(L119="",TODAY(),L119-1),IF(G119="Proposta enviada",IF(J119="",TODAY(),J119+2),IF(G119="Fechou pacote",IF(J119="",TODAY(),J119+7),IF(G119="Em tratamento",IF(M119="",TODAY(),IF(TODAY()&lt;=M119+1,M119+1,EDATE(M119,6)-30)),IF(G119="Pós-venda",IF(J119="",TODAY(),J119+7),IF(G119="Perdido",IF(J119="",TODAY(),J119+60),""))))))))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3" t="str">
        <f aca="false">IF(OR(E120="",E120="A completar",E120="Ainda não sabe"),"",IF(OR(E120="Limpeza de pele",E120="Peeling de diamante",E120="Microagulhamento"),"Rosto","Corpo"))</f>
        <v/>
      </c>
      <c r="G120" s="12"/>
      <c r="H120" s="12"/>
      <c r="I120" s="12"/>
      <c r="J120" s="14"/>
      <c r="K120" s="12"/>
      <c r="L120" s="14"/>
      <c r="M120" s="14"/>
      <c r="N120" s="12"/>
      <c r="O120" s="12"/>
      <c r="P120" s="15" t="str">
        <f aca="false">IF(M120="","",EDATE(M120,6))</f>
        <v/>
      </c>
      <c r="Q120" s="15" t="str">
        <f aca="false">IF(W120="","",IF(WEEKDAY(W120)=1,W120+1,W120))</f>
        <v/>
      </c>
      <c r="R120" s="13" t="str">
        <f aca="true">IF(Q120="","",IF(AND(N(K120)&gt;=3,G120&lt;&gt;"Perdido"),"Mover para Perdido",IF(Q120&lt;TODAY(),"Atrasado",IF(Q120=TODAY(),"Hoje","No prazo"))))</f>
        <v/>
      </c>
      <c r="S120" s="12"/>
      <c r="T120" s="12"/>
      <c r="U120" s="12"/>
      <c r="V120" s="7"/>
      <c r="W120" s="15" t="str">
        <f aca="true">IF(G120="","",IF(OR(G120="Novo contato",G120="Em conversa"),IF(J120="",TODAY(),J120+1),IF(G120="Avaliação marcada",IF(L120="",TODAY(),L120-1),IF(G120="Proposta enviada",IF(J120="",TODAY(),J120+2),IF(G120="Fechou pacote",IF(J120="",TODAY(),J120+7),IF(G120="Em tratamento",IF(M120="",TODAY(),IF(TODAY()&lt;=M120+1,M120+1,EDATE(M120,6)-30)),IF(G120="Pós-venda",IF(J120="",TODAY(),J120+7),IF(G120="Perdido",IF(J120="",TODAY(),J120+60),""))))))))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3" t="str">
        <f aca="false">IF(OR(E121="",E121="A completar",E121="Ainda não sabe"),"",IF(OR(E121="Limpeza de pele",E121="Peeling de diamante",E121="Microagulhamento"),"Rosto","Corpo"))</f>
        <v/>
      </c>
      <c r="G121" s="12"/>
      <c r="H121" s="12"/>
      <c r="I121" s="12"/>
      <c r="J121" s="14"/>
      <c r="K121" s="12"/>
      <c r="L121" s="14"/>
      <c r="M121" s="14"/>
      <c r="N121" s="12"/>
      <c r="O121" s="12"/>
      <c r="P121" s="15" t="str">
        <f aca="false">IF(M121="","",EDATE(M121,6))</f>
        <v/>
      </c>
      <c r="Q121" s="15" t="str">
        <f aca="false">IF(W121="","",IF(WEEKDAY(W121)=1,W121+1,W121))</f>
        <v/>
      </c>
      <c r="R121" s="13" t="str">
        <f aca="true">IF(Q121="","",IF(AND(N(K121)&gt;=3,G121&lt;&gt;"Perdido"),"Mover para Perdido",IF(Q121&lt;TODAY(),"Atrasado",IF(Q121=TODAY(),"Hoje","No prazo"))))</f>
        <v/>
      </c>
      <c r="S121" s="12"/>
      <c r="T121" s="12"/>
      <c r="U121" s="12"/>
      <c r="V121" s="7"/>
      <c r="W121" s="15" t="str">
        <f aca="true">IF(G121="","",IF(OR(G121="Novo contato",G121="Em conversa"),IF(J121="",TODAY(),J121+1),IF(G121="Avaliação marcada",IF(L121="",TODAY(),L121-1),IF(G121="Proposta enviada",IF(J121="",TODAY(),J121+2),IF(G121="Fechou pacote",IF(J121="",TODAY(),J121+7),IF(G121="Em tratamento",IF(M121="",TODAY(),IF(TODAY()&lt;=M121+1,M121+1,EDATE(M121,6)-30)),IF(G121="Pós-venda",IF(J121="",TODAY(),J121+7),IF(G121="Perdido",IF(J121="",TODAY(),J121+60),""))))))))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3" t="str">
        <f aca="false">IF(OR(E122="",E122="A completar",E122="Ainda não sabe"),"",IF(OR(E122="Limpeza de pele",E122="Peeling de diamante",E122="Microagulhamento"),"Rosto","Corpo"))</f>
        <v/>
      </c>
      <c r="G122" s="12"/>
      <c r="H122" s="12"/>
      <c r="I122" s="12"/>
      <c r="J122" s="14"/>
      <c r="K122" s="12"/>
      <c r="L122" s="14"/>
      <c r="M122" s="14"/>
      <c r="N122" s="12"/>
      <c r="O122" s="12"/>
      <c r="P122" s="15" t="str">
        <f aca="false">IF(M122="","",EDATE(M122,6))</f>
        <v/>
      </c>
      <c r="Q122" s="15" t="str">
        <f aca="false">IF(W122="","",IF(WEEKDAY(W122)=1,W122+1,W122))</f>
        <v/>
      </c>
      <c r="R122" s="13" t="str">
        <f aca="true">IF(Q122="","",IF(AND(N(K122)&gt;=3,G122&lt;&gt;"Perdido"),"Mover para Perdido",IF(Q122&lt;TODAY(),"Atrasado",IF(Q122=TODAY(),"Hoje","No prazo"))))</f>
        <v/>
      </c>
      <c r="S122" s="12"/>
      <c r="T122" s="12"/>
      <c r="U122" s="12"/>
      <c r="V122" s="7"/>
      <c r="W122" s="15" t="str">
        <f aca="true">IF(G122="","",IF(OR(G122="Novo contato",G122="Em conversa"),IF(J122="",TODAY(),J122+1),IF(G122="Avaliação marcada",IF(L122="",TODAY(),L122-1),IF(G122="Proposta enviada",IF(J122="",TODAY(),J122+2),IF(G122="Fechou pacote",IF(J122="",TODAY(),J122+7),IF(G122="Em tratamento",IF(M122="",TODAY(),IF(TODAY()&lt;=M122+1,M122+1,EDATE(M122,6)-30)),IF(G122="Pós-venda",IF(J122="",TODAY(),J122+7),IF(G122="Perdido",IF(J122="",TODAY(),J122+60),""))))))))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3" t="str">
        <f aca="false">IF(OR(E123="",E123="A completar",E123="Ainda não sabe"),"",IF(OR(E123="Limpeza de pele",E123="Peeling de diamante",E123="Microagulhamento"),"Rosto","Corpo"))</f>
        <v/>
      </c>
      <c r="G123" s="12"/>
      <c r="H123" s="12"/>
      <c r="I123" s="12"/>
      <c r="J123" s="14"/>
      <c r="K123" s="12"/>
      <c r="L123" s="14"/>
      <c r="M123" s="14"/>
      <c r="N123" s="12"/>
      <c r="O123" s="12"/>
      <c r="P123" s="15" t="str">
        <f aca="false">IF(M123="","",EDATE(M123,6))</f>
        <v/>
      </c>
      <c r="Q123" s="15" t="str">
        <f aca="false">IF(W123="","",IF(WEEKDAY(W123)=1,W123+1,W123))</f>
        <v/>
      </c>
      <c r="R123" s="13" t="str">
        <f aca="true">IF(Q123="","",IF(AND(N(K123)&gt;=3,G123&lt;&gt;"Perdido"),"Mover para Perdido",IF(Q123&lt;TODAY(),"Atrasado",IF(Q123=TODAY(),"Hoje","No prazo"))))</f>
        <v/>
      </c>
      <c r="S123" s="12"/>
      <c r="T123" s="12"/>
      <c r="U123" s="12"/>
      <c r="V123" s="7"/>
      <c r="W123" s="15" t="str">
        <f aca="true">IF(G123="","",IF(OR(G123="Novo contato",G123="Em conversa"),IF(J123="",TODAY(),J123+1),IF(G123="Avaliação marcada",IF(L123="",TODAY(),L123-1),IF(G123="Proposta enviada",IF(J123="",TODAY(),J123+2),IF(G123="Fechou pacote",IF(J123="",TODAY(),J123+7),IF(G123="Em tratamento",IF(M123="",TODAY(),IF(TODAY()&lt;=M123+1,M123+1,EDATE(M123,6)-30)),IF(G123="Pós-venda",IF(J123="",TODAY(),J123+7),IF(G123="Perdido",IF(J123="",TODAY(),J123+60),""))))))))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3" t="str">
        <f aca="false">IF(OR(E124="",E124="A completar",E124="Ainda não sabe"),"",IF(OR(E124="Limpeza de pele",E124="Peeling de diamante",E124="Microagulhamento"),"Rosto","Corpo"))</f>
        <v/>
      </c>
      <c r="G124" s="12"/>
      <c r="H124" s="12"/>
      <c r="I124" s="12"/>
      <c r="J124" s="14"/>
      <c r="K124" s="12"/>
      <c r="L124" s="14"/>
      <c r="M124" s="14"/>
      <c r="N124" s="12"/>
      <c r="O124" s="12"/>
      <c r="P124" s="15" t="str">
        <f aca="false">IF(M124="","",EDATE(M124,6))</f>
        <v/>
      </c>
      <c r="Q124" s="15" t="str">
        <f aca="false">IF(W124="","",IF(WEEKDAY(W124)=1,W124+1,W124))</f>
        <v/>
      </c>
      <c r="R124" s="13" t="str">
        <f aca="true">IF(Q124="","",IF(AND(N(K124)&gt;=3,G124&lt;&gt;"Perdido"),"Mover para Perdido",IF(Q124&lt;TODAY(),"Atrasado",IF(Q124=TODAY(),"Hoje","No prazo"))))</f>
        <v/>
      </c>
      <c r="S124" s="12"/>
      <c r="T124" s="12"/>
      <c r="U124" s="12"/>
      <c r="V124" s="7"/>
      <c r="W124" s="15" t="str">
        <f aca="true">IF(G124="","",IF(OR(G124="Novo contato",G124="Em conversa"),IF(J124="",TODAY(),J124+1),IF(G124="Avaliação marcada",IF(L124="",TODAY(),L124-1),IF(G124="Proposta enviada",IF(J124="",TODAY(),J124+2),IF(G124="Fechou pacote",IF(J124="",TODAY(),J124+7),IF(G124="Em tratamento",IF(M124="",TODAY(),IF(TODAY()&lt;=M124+1,M124+1,EDATE(M124,6)-30)),IF(G124="Pós-venda",IF(J124="",TODAY(),J124+7),IF(G124="Perdido",IF(J124="",TODAY(),J124+60),""))))))))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3" t="str">
        <f aca="false">IF(OR(E125="",E125="A completar",E125="Ainda não sabe"),"",IF(OR(E125="Limpeza de pele",E125="Peeling de diamante",E125="Microagulhamento"),"Rosto","Corpo"))</f>
        <v/>
      </c>
      <c r="G125" s="12"/>
      <c r="H125" s="12"/>
      <c r="I125" s="12"/>
      <c r="J125" s="14"/>
      <c r="K125" s="12"/>
      <c r="L125" s="14"/>
      <c r="M125" s="14"/>
      <c r="N125" s="12"/>
      <c r="O125" s="12"/>
      <c r="P125" s="15" t="str">
        <f aca="false">IF(M125="","",EDATE(M125,6))</f>
        <v/>
      </c>
      <c r="Q125" s="15" t="str">
        <f aca="false">IF(W125="","",IF(WEEKDAY(W125)=1,W125+1,W125))</f>
        <v/>
      </c>
      <c r="R125" s="13" t="str">
        <f aca="true">IF(Q125="","",IF(AND(N(K125)&gt;=3,G125&lt;&gt;"Perdido"),"Mover para Perdido",IF(Q125&lt;TODAY(),"Atrasado",IF(Q125=TODAY(),"Hoje","No prazo"))))</f>
        <v/>
      </c>
      <c r="S125" s="12"/>
      <c r="T125" s="12"/>
      <c r="U125" s="12"/>
      <c r="V125" s="7"/>
      <c r="W125" s="15" t="str">
        <f aca="true">IF(G125="","",IF(OR(G125="Novo contato",G125="Em conversa"),IF(J125="",TODAY(),J125+1),IF(G125="Avaliação marcada",IF(L125="",TODAY(),L125-1),IF(G125="Proposta enviada",IF(J125="",TODAY(),J125+2),IF(G125="Fechou pacote",IF(J125="",TODAY(),J125+7),IF(G125="Em tratamento",IF(M125="",TODAY(),IF(TODAY()&lt;=M125+1,M125+1,EDATE(M125,6)-30)),IF(G125="Pós-venda",IF(J125="",TODAY(),J125+7),IF(G125="Perdido",IF(J125="",TODAY(),J125+60),""))))))))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3" t="str">
        <f aca="false">IF(OR(E126="",E126="A completar",E126="Ainda não sabe"),"",IF(OR(E126="Limpeza de pele",E126="Peeling de diamante",E126="Microagulhamento"),"Rosto","Corpo"))</f>
        <v/>
      </c>
      <c r="G126" s="12"/>
      <c r="H126" s="12"/>
      <c r="I126" s="12"/>
      <c r="J126" s="14"/>
      <c r="K126" s="12"/>
      <c r="L126" s="14"/>
      <c r="M126" s="14"/>
      <c r="N126" s="12"/>
      <c r="O126" s="12"/>
      <c r="P126" s="15" t="str">
        <f aca="false">IF(M126="","",EDATE(M126,6))</f>
        <v/>
      </c>
      <c r="Q126" s="15" t="str">
        <f aca="false">IF(W126="","",IF(WEEKDAY(W126)=1,W126+1,W126))</f>
        <v/>
      </c>
      <c r="R126" s="13" t="str">
        <f aca="true">IF(Q126="","",IF(AND(N(K126)&gt;=3,G126&lt;&gt;"Perdido"),"Mover para Perdido",IF(Q126&lt;TODAY(),"Atrasado",IF(Q126=TODAY(),"Hoje","No prazo"))))</f>
        <v/>
      </c>
      <c r="S126" s="12"/>
      <c r="T126" s="12"/>
      <c r="U126" s="12"/>
      <c r="V126" s="7"/>
      <c r="W126" s="15" t="str">
        <f aca="true">IF(G126="","",IF(OR(G126="Novo contato",G126="Em conversa"),IF(J126="",TODAY(),J126+1),IF(G126="Avaliação marcada",IF(L126="",TODAY(),L126-1),IF(G126="Proposta enviada",IF(J126="",TODAY(),J126+2),IF(G126="Fechou pacote",IF(J126="",TODAY(),J126+7),IF(G126="Em tratamento",IF(M126="",TODAY(),IF(TODAY()&lt;=M126+1,M126+1,EDATE(M126,6)-30)),IF(G126="Pós-venda",IF(J126="",TODAY(),J126+7),IF(G126="Perdido",IF(J126="",TODAY(),J126+60),""))))))))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3" t="str">
        <f aca="false">IF(OR(E127="",E127="A completar",E127="Ainda não sabe"),"",IF(OR(E127="Limpeza de pele",E127="Peeling de diamante",E127="Microagulhamento"),"Rosto","Corpo"))</f>
        <v/>
      </c>
      <c r="G127" s="12"/>
      <c r="H127" s="12"/>
      <c r="I127" s="12"/>
      <c r="J127" s="14"/>
      <c r="K127" s="12"/>
      <c r="L127" s="14"/>
      <c r="M127" s="14"/>
      <c r="N127" s="12"/>
      <c r="O127" s="12"/>
      <c r="P127" s="15" t="str">
        <f aca="false">IF(M127="","",EDATE(M127,6))</f>
        <v/>
      </c>
      <c r="Q127" s="15" t="str">
        <f aca="false">IF(W127="","",IF(WEEKDAY(W127)=1,W127+1,W127))</f>
        <v/>
      </c>
      <c r="R127" s="13" t="str">
        <f aca="true">IF(Q127="","",IF(AND(N(K127)&gt;=3,G127&lt;&gt;"Perdido"),"Mover para Perdido",IF(Q127&lt;TODAY(),"Atrasado",IF(Q127=TODAY(),"Hoje","No prazo"))))</f>
        <v/>
      </c>
      <c r="S127" s="12"/>
      <c r="T127" s="12"/>
      <c r="U127" s="12"/>
      <c r="V127" s="7"/>
      <c r="W127" s="15" t="str">
        <f aca="true">IF(G127="","",IF(OR(G127="Novo contato",G127="Em conversa"),IF(J127="",TODAY(),J127+1),IF(G127="Avaliação marcada",IF(L127="",TODAY(),L127-1),IF(G127="Proposta enviada",IF(J127="",TODAY(),J127+2),IF(G127="Fechou pacote",IF(J127="",TODAY(),J127+7),IF(G127="Em tratamento",IF(M127="",TODAY(),IF(TODAY()&lt;=M127+1,M127+1,EDATE(M127,6)-30)),IF(G127="Pós-venda",IF(J127="",TODAY(),J127+7),IF(G127="Perdido",IF(J127="",TODAY(),J127+60),""))))))))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3" t="str">
        <f aca="false">IF(OR(E128="",E128="A completar",E128="Ainda não sabe"),"",IF(OR(E128="Limpeza de pele",E128="Peeling de diamante",E128="Microagulhamento"),"Rosto","Corpo"))</f>
        <v/>
      </c>
      <c r="G128" s="12"/>
      <c r="H128" s="12"/>
      <c r="I128" s="12"/>
      <c r="J128" s="14"/>
      <c r="K128" s="12"/>
      <c r="L128" s="14"/>
      <c r="M128" s="14"/>
      <c r="N128" s="12"/>
      <c r="O128" s="12"/>
      <c r="P128" s="15" t="str">
        <f aca="false">IF(M128="","",EDATE(M128,6))</f>
        <v/>
      </c>
      <c r="Q128" s="15" t="str">
        <f aca="false">IF(W128="","",IF(WEEKDAY(W128)=1,W128+1,W128))</f>
        <v/>
      </c>
      <c r="R128" s="13" t="str">
        <f aca="true">IF(Q128="","",IF(AND(N(K128)&gt;=3,G128&lt;&gt;"Perdido"),"Mover para Perdido",IF(Q128&lt;TODAY(),"Atrasado",IF(Q128=TODAY(),"Hoje","No prazo"))))</f>
        <v/>
      </c>
      <c r="S128" s="12"/>
      <c r="T128" s="12"/>
      <c r="U128" s="12"/>
      <c r="V128" s="7"/>
      <c r="W128" s="15" t="str">
        <f aca="true">IF(G128="","",IF(OR(G128="Novo contato",G128="Em conversa"),IF(J128="",TODAY(),J128+1),IF(G128="Avaliação marcada",IF(L128="",TODAY(),L128-1),IF(G128="Proposta enviada",IF(J128="",TODAY(),J128+2),IF(G128="Fechou pacote",IF(J128="",TODAY(),J128+7),IF(G128="Em tratamento",IF(M128="",TODAY(),IF(TODAY()&lt;=M128+1,M128+1,EDATE(M128,6)-30)),IF(G128="Pós-venda",IF(J128="",TODAY(),J128+7),IF(G128="Perdido",IF(J128="",TODAY(),J128+60),""))))))))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3" t="str">
        <f aca="false">IF(OR(E129="",E129="A completar",E129="Ainda não sabe"),"",IF(OR(E129="Limpeza de pele",E129="Peeling de diamante",E129="Microagulhamento"),"Rosto","Corpo"))</f>
        <v/>
      </c>
      <c r="G129" s="12"/>
      <c r="H129" s="12"/>
      <c r="I129" s="12"/>
      <c r="J129" s="14"/>
      <c r="K129" s="12"/>
      <c r="L129" s="14"/>
      <c r="M129" s="14"/>
      <c r="N129" s="12"/>
      <c r="O129" s="12"/>
      <c r="P129" s="15" t="str">
        <f aca="false">IF(M129="","",EDATE(M129,6))</f>
        <v/>
      </c>
      <c r="Q129" s="15" t="str">
        <f aca="false">IF(W129="","",IF(WEEKDAY(W129)=1,W129+1,W129))</f>
        <v/>
      </c>
      <c r="R129" s="13" t="str">
        <f aca="true">IF(Q129="","",IF(AND(N(K129)&gt;=3,G129&lt;&gt;"Perdido"),"Mover para Perdido",IF(Q129&lt;TODAY(),"Atrasado",IF(Q129=TODAY(),"Hoje","No prazo"))))</f>
        <v/>
      </c>
      <c r="S129" s="12"/>
      <c r="T129" s="12"/>
      <c r="U129" s="12"/>
      <c r="V129" s="7"/>
      <c r="W129" s="15" t="str">
        <f aca="true">IF(G129="","",IF(OR(G129="Novo contato",G129="Em conversa"),IF(J129="",TODAY(),J129+1),IF(G129="Avaliação marcada",IF(L129="",TODAY(),L129-1),IF(G129="Proposta enviada",IF(J129="",TODAY(),J129+2),IF(G129="Fechou pacote",IF(J129="",TODAY(),J129+7),IF(G129="Em tratamento",IF(M129="",TODAY(),IF(TODAY()&lt;=M129+1,M129+1,EDATE(M129,6)-30)),IF(G129="Pós-venda",IF(J129="",TODAY(),J129+7),IF(G129="Perdido",IF(J129="",TODAY(),J129+60),""))))))))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3" t="str">
        <f aca="false">IF(OR(E130="",E130="A completar",E130="Ainda não sabe"),"",IF(OR(E130="Limpeza de pele",E130="Peeling de diamante",E130="Microagulhamento"),"Rosto","Corpo"))</f>
        <v/>
      </c>
      <c r="G130" s="12"/>
      <c r="H130" s="12"/>
      <c r="I130" s="12"/>
      <c r="J130" s="14"/>
      <c r="K130" s="12"/>
      <c r="L130" s="14"/>
      <c r="M130" s="14"/>
      <c r="N130" s="12"/>
      <c r="O130" s="12"/>
      <c r="P130" s="15" t="str">
        <f aca="false">IF(M130="","",EDATE(M130,6))</f>
        <v/>
      </c>
      <c r="Q130" s="15" t="str">
        <f aca="false">IF(W130="","",IF(WEEKDAY(W130)=1,W130+1,W130))</f>
        <v/>
      </c>
      <c r="R130" s="13" t="str">
        <f aca="true">IF(Q130="","",IF(AND(N(K130)&gt;=3,G130&lt;&gt;"Perdido"),"Mover para Perdido",IF(Q130&lt;TODAY(),"Atrasado",IF(Q130=TODAY(),"Hoje","No prazo"))))</f>
        <v/>
      </c>
      <c r="S130" s="12"/>
      <c r="T130" s="12"/>
      <c r="U130" s="12"/>
      <c r="V130" s="7"/>
      <c r="W130" s="15" t="str">
        <f aca="true">IF(G130="","",IF(OR(G130="Novo contato",G130="Em conversa"),IF(J130="",TODAY(),J130+1),IF(G130="Avaliação marcada",IF(L130="",TODAY(),L130-1),IF(G130="Proposta enviada",IF(J130="",TODAY(),J130+2),IF(G130="Fechou pacote",IF(J130="",TODAY(),J130+7),IF(G130="Em tratamento",IF(M130="",TODAY(),IF(TODAY()&lt;=M130+1,M130+1,EDATE(M130,6)-30)),IF(G130="Pós-venda",IF(J130="",TODAY(),J130+7),IF(G130="Perdido",IF(J130="",TODAY(),J130+60),""))))))))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3" t="str">
        <f aca="false">IF(OR(E131="",E131="A completar",E131="Ainda não sabe"),"",IF(OR(E131="Limpeza de pele",E131="Peeling de diamante",E131="Microagulhamento"),"Rosto","Corpo"))</f>
        <v/>
      </c>
      <c r="G131" s="12"/>
      <c r="H131" s="12"/>
      <c r="I131" s="12"/>
      <c r="J131" s="14"/>
      <c r="K131" s="12"/>
      <c r="L131" s="14"/>
      <c r="M131" s="14"/>
      <c r="N131" s="12"/>
      <c r="O131" s="12"/>
      <c r="P131" s="15" t="str">
        <f aca="false">IF(M131="","",EDATE(M131,6))</f>
        <v/>
      </c>
      <c r="Q131" s="15" t="str">
        <f aca="false">IF(W131="","",IF(WEEKDAY(W131)=1,W131+1,W131))</f>
        <v/>
      </c>
      <c r="R131" s="13" t="str">
        <f aca="true">IF(Q131="","",IF(AND(N(K131)&gt;=3,G131&lt;&gt;"Perdido"),"Mover para Perdido",IF(Q131&lt;TODAY(),"Atrasado",IF(Q131=TODAY(),"Hoje","No prazo"))))</f>
        <v/>
      </c>
      <c r="S131" s="12"/>
      <c r="T131" s="12"/>
      <c r="U131" s="12"/>
      <c r="V131" s="7"/>
      <c r="W131" s="15" t="str">
        <f aca="true">IF(G131="","",IF(OR(G131="Novo contato",G131="Em conversa"),IF(J131="",TODAY(),J131+1),IF(G131="Avaliação marcada",IF(L131="",TODAY(),L131-1),IF(G131="Proposta enviada",IF(J131="",TODAY(),J131+2),IF(G131="Fechou pacote",IF(J131="",TODAY(),J131+7),IF(G131="Em tratamento",IF(M131="",TODAY(),IF(TODAY()&lt;=M131+1,M131+1,EDATE(M131,6)-30)),IF(G131="Pós-venda",IF(J131="",TODAY(),J131+7),IF(G131="Perdido",IF(J131="",TODAY(),J131+60),""))))))))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3" t="str">
        <f aca="false">IF(OR(E132="",E132="A completar",E132="Ainda não sabe"),"",IF(OR(E132="Limpeza de pele",E132="Peeling de diamante",E132="Microagulhamento"),"Rosto","Corpo"))</f>
        <v/>
      </c>
      <c r="G132" s="12"/>
      <c r="H132" s="12"/>
      <c r="I132" s="12"/>
      <c r="J132" s="14"/>
      <c r="K132" s="12"/>
      <c r="L132" s="14"/>
      <c r="M132" s="14"/>
      <c r="N132" s="12"/>
      <c r="O132" s="12"/>
      <c r="P132" s="15" t="str">
        <f aca="false">IF(M132="","",EDATE(M132,6))</f>
        <v/>
      </c>
      <c r="Q132" s="15" t="str">
        <f aca="false">IF(W132="","",IF(WEEKDAY(W132)=1,W132+1,W132))</f>
        <v/>
      </c>
      <c r="R132" s="13" t="str">
        <f aca="true">IF(Q132="","",IF(AND(N(K132)&gt;=3,G132&lt;&gt;"Perdido"),"Mover para Perdido",IF(Q132&lt;TODAY(),"Atrasado",IF(Q132=TODAY(),"Hoje","No prazo"))))</f>
        <v/>
      </c>
      <c r="S132" s="12"/>
      <c r="T132" s="12"/>
      <c r="U132" s="12"/>
      <c r="V132" s="7"/>
      <c r="W132" s="15" t="str">
        <f aca="true">IF(G132="","",IF(OR(G132="Novo contato",G132="Em conversa"),IF(J132="",TODAY(),J132+1),IF(G132="Avaliação marcada",IF(L132="",TODAY(),L132-1),IF(G132="Proposta enviada",IF(J132="",TODAY(),J132+2),IF(G132="Fechou pacote",IF(J132="",TODAY(),J132+7),IF(G132="Em tratamento",IF(M132="",TODAY(),IF(TODAY()&lt;=M132+1,M132+1,EDATE(M132,6)-30)),IF(G132="Pós-venda",IF(J132="",TODAY(),J132+7),IF(G132="Perdido",IF(J132="",TODAY(),J132+60),""))))))))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3" t="str">
        <f aca="false">IF(OR(E133="",E133="A completar",E133="Ainda não sabe"),"",IF(OR(E133="Limpeza de pele",E133="Peeling de diamante",E133="Microagulhamento"),"Rosto","Corpo"))</f>
        <v/>
      </c>
      <c r="G133" s="12"/>
      <c r="H133" s="12"/>
      <c r="I133" s="12"/>
      <c r="J133" s="14"/>
      <c r="K133" s="12"/>
      <c r="L133" s="14"/>
      <c r="M133" s="14"/>
      <c r="N133" s="12"/>
      <c r="O133" s="12"/>
      <c r="P133" s="15" t="str">
        <f aca="false">IF(M133="","",EDATE(M133,6))</f>
        <v/>
      </c>
      <c r="Q133" s="15" t="str">
        <f aca="false">IF(W133="","",IF(WEEKDAY(W133)=1,W133+1,W133))</f>
        <v/>
      </c>
      <c r="R133" s="13" t="str">
        <f aca="true">IF(Q133="","",IF(AND(N(K133)&gt;=3,G133&lt;&gt;"Perdido"),"Mover para Perdido",IF(Q133&lt;TODAY(),"Atrasado",IF(Q133=TODAY(),"Hoje","No prazo"))))</f>
        <v/>
      </c>
      <c r="S133" s="12"/>
      <c r="T133" s="12"/>
      <c r="U133" s="12"/>
      <c r="V133" s="7"/>
      <c r="W133" s="15" t="str">
        <f aca="true">IF(G133="","",IF(OR(G133="Novo contato",G133="Em conversa"),IF(J133="",TODAY(),J133+1),IF(G133="Avaliação marcada",IF(L133="",TODAY(),L133-1),IF(G133="Proposta enviada",IF(J133="",TODAY(),J133+2),IF(G133="Fechou pacote",IF(J133="",TODAY(),J133+7),IF(G133="Em tratamento",IF(M133="",TODAY(),IF(TODAY()&lt;=M133+1,M133+1,EDATE(M133,6)-30)),IF(G133="Pós-venda",IF(J133="",TODAY(),J133+7),IF(G133="Perdido",IF(J133="",TODAY(),J133+60),""))))))))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3" t="str">
        <f aca="false">IF(OR(E134="",E134="A completar",E134="Ainda não sabe"),"",IF(OR(E134="Limpeza de pele",E134="Peeling de diamante",E134="Microagulhamento"),"Rosto","Corpo"))</f>
        <v/>
      </c>
      <c r="G134" s="12"/>
      <c r="H134" s="12"/>
      <c r="I134" s="12"/>
      <c r="J134" s="14"/>
      <c r="K134" s="12"/>
      <c r="L134" s="14"/>
      <c r="M134" s="14"/>
      <c r="N134" s="12"/>
      <c r="O134" s="12"/>
      <c r="P134" s="15" t="str">
        <f aca="false">IF(M134="","",EDATE(M134,6))</f>
        <v/>
      </c>
      <c r="Q134" s="15" t="str">
        <f aca="false">IF(W134="","",IF(WEEKDAY(W134)=1,W134+1,W134))</f>
        <v/>
      </c>
      <c r="R134" s="13" t="str">
        <f aca="true">IF(Q134="","",IF(AND(N(K134)&gt;=3,G134&lt;&gt;"Perdido"),"Mover para Perdido",IF(Q134&lt;TODAY(),"Atrasado",IF(Q134=TODAY(),"Hoje","No prazo"))))</f>
        <v/>
      </c>
      <c r="S134" s="12"/>
      <c r="T134" s="12"/>
      <c r="U134" s="12"/>
      <c r="V134" s="7"/>
      <c r="W134" s="15" t="str">
        <f aca="true">IF(G134="","",IF(OR(G134="Novo contato",G134="Em conversa"),IF(J134="",TODAY(),J134+1),IF(G134="Avaliação marcada",IF(L134="",TODAY(),L134-1),IF(G134="Proposta enviada",IF(J134="",TODAY(),J134+2),IF(G134="Fechou pacote",IF(J134="",TODAY(),J134+7),IF(G134="Em tratamento",IF(M134="",TODAY(),IF(TODAY()&lt;=M134+1,M134+1,EDATE(M134,6)-30)),IF(G134="Pós-venda",IF(J134="",TODAY(),J134+7),IF(G134="Perdido",IF(J134="",TODAY(),J134+60),""))))))))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3" t="str">
        <f aca="false">IF(OR(E135="",E135="A completar",E135="Ainda não sabe"),"",IF(OR(E135="Limpeza de pele",E135="Peeling de diamante",E135="Microagulhamento"),"Rosto","Corpo"))</f>
        <v/>
      </c>
      <c r="G135" s="12"/>
      <c r="H135" s="12"/>
      <c r="I135" s="12"/>
      <c r="J135" s="14"/>
      <c r="K135" s="12"/>
      <c r="L135" s="14"/>
      <c r="M135" s="14"/>
      <c r="N135" s="12"/>
      <c r="O135" s="12"/>
      <c r="P135" s="15" t="str">
        <f aca="false">IF(M135="","",EDATE(M135,6))</f>
        <v/>
      </c>
      <c r="Q135" s="15" t="str">
        <f aca="false">IF(W135="","",IF(WEEKDAY(W135)=1,W135+1,W135))</f>
        <v/>
      </c>
      <c r="R135" s="13" t="str">
        <f aca="true">IF(Q135="","",IF(AND(N(K135)&gt;=3,G135&lt;&gt;"Perdido"),"Mover para Perdido",IF(Q135&lt;TODAY(),"Atrasado",IF(Q135=TODAY(),"Hoje","No prazo"))))</f>
        <v/>
      </c>
      <c r="S135" s="12"/>
      <c r="T135" s="12"/>
      <c r="U135" s="12"/>
      <c r="V135" s="7"/>
      <c r="W135" s="15" t="str">
        <f aca="true">IF(G135="","",IF(OR(G135="Novo contato",G135="Em conversa"),IF(J135="",TODAY(),J135+1),IF(G135="Avaliação marcada",IF(L135="",TODAY(),L135-1),IF(G135="Proposta enviada",IF(J135="",TODAY(),J135+2),IF(G135="Fechou pacote",IF(J135="",TODAY(),J135+7),IF(G135="Em tratamento",IF(M135="",TODAY(),IF(TODAY()&lt;=M135+1,M135+1,EDATE(M135,6)-30)),IF(G135="Pós-venda",IF(J135="",TODAY(),J135+7),IF(G135="Perdido",IF(J135="",TODAY(),J135+60),""))))))))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3" t="str">
        <f aca="false">IF(OR(E136="",E136="A completar",E136="Ainda não sabe"),"",IF(OR(E136="Limpeza de pele",E136="Peeling de diamante",E136="Microagulhamento"),"Rosto","Corpo"))</f>
        <v/>
      </c>
      <c r="G136" s="12"/>
      <c r="H136" s="12"/>
      <c r="I136" s="12"/>
      <c r="J136" s="14"/>
      <c r="K136" s="12"/>
      <c r="L136" s="14"/>
      <c r="M136" s="14"/>
      <c r="N136" s="12"/>
      <c r="O136" s="12"/>
      <c r="P136" s="15" t="str">
        <f aca="false">IF(M136="","",EDATE(M136,6))</f>
        <v/>
      </c>
      <c r="Q136" s="15" t="str">
        <f aca="false">IF(W136="","",IF(WEEKDAY(W136)=1,W136+1,W136))</f>
        <v/>
      </c>
      <c r="R136" s="13" t="str">
        <f aca="true">IF(Q136="","",IF(AND(N(K136)&gt;=3,G136&lt;&gt;"Perdido"),"Mover para Perdido",IF(Q136&lt;TODAY(),"Atrasado",IF(Q136=TODAY(),"Hoje","No prazo"))))</f>
        <v/>
      </c>
      <c r="S136" s="12"/>
      <c r="T136" s="12"/>
      <c r="U136" s="12"/>
      <c r="V136" s="7"/>
      <c r="W136" s="15" t="str">
        <f aca="true">IF(G136="","",IF(OR(G136="Novo contato",G136="Em conversa"),IF(J136="",TODAY(),J136+1),IF(G136="Avaliação marcada",IF(L136="",TODAY(),L136-1),IF(G136="Proposta enviada",IF(J136="",TODAY(),J136+2),IF(G136="Fechou pacote",IF(J136="",TODAY(),J136+7),IF(G136="Em tratamento",IF(M136="",TODAY(),IF(TODAY()&lt;=M136+1,M136+1,EDATE(M136,6)-30)),IF(G136="Pós-venda",IF(J136="",TODAY(),J136+7),IF(G136="Perdido",IF(J136="",TODAY(),J136+60),""))))))))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3" t="str">
        <f aca="false">IF(OR(E137="",E137="A completar",E137="Ainda não sabe"),"",IF(OR(E137="Limpeza de pele",E137="Peeling de diamante",E137="Microagulhamento"),"Rosto","Corpo"))</f>
        <v/>
      </c>
      <c r="G137" s="12"/>
      <c r="H137" s="12"/>
      <c r="I137" s="12"/>
      <c r="J137" s="14"/>
      <c r="K137" s="12"/>
      <c r="L137" s="14"/>
      <c r="M137" s="14"/>
      <c r="N137" s="12"/>
      <c r="O137" s="12"/>
      <c r="P137" s="15" t="str">
        <f aca="false">IF(M137="","",EDATE(M137,6))</f>
        <v/>
      </c>
      <c r="Q137" s="15" t="str">
        <f aca="false">IF(W137="","",IF(WEEKDAY(W137)=1,W137+1,W137))</f>
        <v/>
      </c>
      <c r="R137" s="13" t="str">
        <f aca="true">IF(Q137="","",IF(AND(N(K137)&gt;=3,G137&lt;&gt;"Perdido"),"Mover para Perdido",IF(Q137&lt;TODAY(),"Atrasado",IF(Q137=TODAY(),"Hoje","No prazo"))))</f>
        <v/>
      </c>
      <c r="S137" s="12"/>
      <c r="T137" s="12"/>
      <c r="U137" s="12"/>
      <c r="V137" s="7"/>
      <c r="W137" s="15" t="str">
        <f aca="true">IF(G137="","",IF(OR(G137="Novo contato",G137="Em conversa"),IF(J137="",TODAY(),J137+1),IF(G137="Avaliação marcada",IF(L137="",TODAY(),L137-1),IF(G137="Proposta enviada",IF(J137="",TODAY(),J137+2),IF(G137="Fechou pacote",IF(J137="",TODAY(),J137+7),IF(G137="Em tratamento",IF(M137="",TODAY(),IF(TODAY()&lt;=M137+1,M137+1,EDATE(M137,6)-30)),IF(G137="Pós-venda",IF(J137="",TODAY(),J137+7),IF(G137="Perdido",IF(J137="",TODAY(),J137+60),""))))))))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3" t="str">
        <f aca="false">IF(OR(E138="",E138="A completar",E138="Ainda não sabe"),"",IF(OR(E138="Limpeza de pele",E138="Peeling de diamante",E138="Microagulhamento"),"Rosto","Corpo"))</f>
        <v/>
      </c>
      <c r="G138" s="12"/>
      <c r="H138" s="12"/>
      <c r="I138" s="12"/>
      <c r="J138" s="14"/>
      <c r="K138" s="12"/>
      <c r="L138" s="14"/>
      <c r="M138" s="14"/>
      <c r="N138" s="12"/>
      <c r="O138" s="12"/>
      <c r="P138" s="15" t="str">
        <f aca="false">IF(M138="","",EDATE(M138,6))</f>
        <v/>
      </c>
      <c r="Q138" s="15" t="str">
        <f aca="false">IF(W138="","",IF(WEEKDAY(W138)=1,W138+1,W138))</f>
        <v/>
      </c>
      <c r="R138" s="13" t="str">
        <f aca="true">IF(Q138="","",IF(AND(N(K138)&gt;=3,G138&lt;&gt;"Perdido"),"Mover para Perdido",IF(Q138&lt;TODAY(),"Atrasado",IF(Q138=TODAY(),"Hoje","No prazo"))))</f>
        <v/>
      </c>
      <c r="S138" s="12"/>
      <c r="T138" s="12"/>
      <c r="U138" s="12"/>
      <c r="V138" s="7"/>
      <c r="W138" s="15" t="str">
        <f aca="true">IF(G138="","",IF(OR(G138="Novo contato",G138="Em conversa"),IF(J138="",TODAY(),J138+1),IF(G138="Avaliação marcada",IF(L138="",TODAY(),L138-1),IF(G138="Proposta enviada",IF(J138="",TODAY(),J138+2),IF(G138="Fechou pacote",IF(J138="",TODAY(),J138+7),IF(G138="Em tratamento",IF(M138="",TODAY(),IF(TODAY()&lt;=M138+1,M138+1,EDATE(M138,6)-30)),IF(G138="Pós-venda",IF(J138="",TODAY(),J138+7),IF(G138="Perdido",IF(J138="",TODAY(),J138+60),""))))))))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3" t="str">
        <f aca="false">IF(OR(E139="",E139="A completar",E139="Ainda não sabe"),"",IF(OR(E139="Limpeza de pele",E139="Peeling de diamante",E139="Microagulhamento"),"Rosto","Corpo"))</f>
        <v/>
      </c>
      <c r="G139" s="12"/>
      <c r="H139" s="12"/>
      <c r="I139" s="12"/>
      <c r="J139" s="14"/>
      <c r="K139" s="12"/>
      <c r="L139" s="14"/>
      <c r="M139" s="14"/>
      <c r="N139" s="12"/>
      <c r="O139" s="12"/>
      <c r="P139" s="15" t="str">
        <f aca="false">IF(M139="","",EDATE(M139,6))</f>
        <v/>
      </c>
      <c r="Q139" s="15" t="str">
        <f aca="false">IF(W139="","",IF(WEEKDAY(W139)=1,W139+1,W139))</f>
        <v/>
      </c>
      <c r="R139" s="13" t="str">
        <f aca="true">IF(Q139="","",IF(AND(N(K139)&gt;=3,G139&lt;&gt;"Perdido"),"Mover para Perdido",IF(Q139&lt;TODAY(),"Atrasado",IF(Q139=TODAY(),"Hoje","No prazo"))))</f>
        <v/>
      </c>
      <c r="S139" s="12"/>
      <c r="T139" s="12"/>
      <c r="U139" s="12"/>
      <c r="V139" s="7"/>
      <c r="W139" s="15" t="str">
        <f aca="true">IF(G139="","",IF(OR(G139="Novo contato",G139="Em conversa"),IF(J139="",TODAY(),J139+1),IF(G139="Avaliação marcada",IF(L139="",TODAY(),L139-1),IF(G139="Proposta enviada",IF(J139="",TODAY(),J139+2),IF(G139="Fechou pacote",IF(J139="",TODAY(),J139+7),IF(G139="Em tratamento",IF(M139="",TODAY(),IF(TODAY()&lt;=M139+1,M139+1,EDATE(M139,6)-30)),IF(G139="Pós-venda",IF(J139="",TODAY(),J139+7),IF(G139="Perdido",IF(J139="",TODAY(),J139+60),""))))))))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3" t="str">
        <f aca="false">IF(OR(E140="",E140="A completar",E140="Ainda não sabe"),"",IF(OR(E140="Limpeza de pele",E140="Peeling de diamante",E140="Microagulhamento"),"Rosto","Corpo"))</f>
        <v/>
      </c>
      <c r="G140" s="12"/>
      <c r="H140" s="12"/>
      <c r="I140" s="12"/>
      <c r="J140" s="14"/>
      <c r="K140" s="12"/>
      <c r="L140" s="14"/>
      <c r="M140" s="14"/>
      <c r="N140" s="12"/>
      <c r="O140" s="12"/>
      <c r="P140" s="15" t="str">
        <f aca="false">IF(M140="","",EDATE(M140,6))</f>
        <v/>
      </c>
      <c r="Q140" s="15" t="str">
        <f aca="false">IF(W140="","",IF(WEEKDAY(W140)=1,W140+1,W140))</f>
        <v/>
      </c>
      <c r="R140" s="13" t="str">
        <f aca="true">IF(Q140="","",IF(AND(N(K140)&gt;=3,G140&lt;&gt;"Perdido"),"Mover para Perdido",IF(Q140&lt;TODAY(),"Atrasado",IF(Q140=TODAY(),"Hoje","No prazo"))))</f>
        <v/>
      </c>
      <c r="S140" s="12"/>
      <c r="T140" s="12"/>
      <c r="U140" s="12"/>
      <c r="V140" s="7"/>
      <c r="W140" s="15" t="str">
        <f aca="true">IF(G140="","",IF(OR(G140="Novo contato",G140="Em conversa"),IF(J140="",TODAY(),J140+1),IF(G140="Avaliação marcada",IF(L140="",TODAY(),L140-1),IF(G140="Proposta enviada",IF(J140="",TODAY(),J140+2),IF(G140="Fechou pacote",IF(J140="",TODAY(),J140+7),IF(G140="Em tratamento",IF(M140="",TODAY(),IF(TODAY()&lt;=M140+1,M140+1,EDATE(M140,6)-30)),IF(G140="Pós-venda",IF(J140="",TODAY(),J140+7),IF(G140="Perdido",IF(J140="",TODAY(),J140+60),""))))))))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3" t="str">
        <f aca="false">IF(OR(E141="",E141="A completar",E141="Ainda não sabe"),"",IF(OR(E141="Limpeza de pele",E141="Peeling de diamante",E141="Microagulhamento"),"Rosto","Corpo"))</f>
        <v/>
      </c>
      <c r="G141" s="12"/>
      <c r="H141" s="12"/>
      <c r="I141" s="12"/>
      <c r="J141" s="14"/>
      <c r="K141" s="12"/>
      <c r="L141" s="14"/>
      <c r="M141" s="14"/>
      <c r="N141" s="12"/>
      <c r="O141" s="12"/>
      <c r="P141" s="15" t="str">
        <f aca="false">IF(M141="","",EDATE(M141,6))</f>
        <v/>
      </c>
      <c r="Q141" s="15" t="str">
        <f aca="false">IF(W141="","",IF(WEEKDAY(W141)=1,W141+1,W141))</f>
        <v/>
      </c>
      <c r="R141" s="13" t="str">
        <f aca="true">IF(Q141="","",IF(AND(N(K141)&gt;=3,G141&lt;&gt;"Perdido"),"Mover para Perdido",IF(Q141&lt;TODAY(),"Atrasado",IF(Q141=TODAY(),"Hoje","No prazo"))))</f>
        <v/>
      </c>
      <c r="S141" s="12"/>
      <c r="T141" s="12"/>
      <c r="U141" s="12"/>
      <c r="V141" s="7"/>
      <c r="W141" s="15" t="str">
        <f aca="true">IF(G141="","",IF(OR(G141="Novo contato",G141="Em conversa"),IF(J141="",TODAY(),J141+1),IF(G141="Avaliação marcada",IF(L141="",TODAY(),L141-1),IF(G141="Proposta enviada",IF(J141="",TODAY(),J141+2),IF(G141="Fechou pacote",IF(J141="",TODAY(),J141+7),IF(G141="Em tratamento",IF(M141="",TODAY(),IF(TODAY()&lt;=M141+1,M141+1,EDATE(M141,6)-30)),IF(G141="Pós-venda",IF(J141="",TODAY(),J141+7),IF(G141="Perdido",IF(J141="",TODAY(),J141+60),""))))))))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3" t="str">
        <f aca="false">IF(OR(E142="",E142="A completar",E142="Ainda não sabe"),"",IF(OR(E142="Limpeza de pele",E142="Peeling de diamante",E142="Microagulhamento"),"Rosto","Corpo"))</f>
        <v/>
      </c>
      <c r="G142" s="12"/>
      <c r="H142" s="12"/>
      <c r="I142" s="12"/>
      <c r="J142" s="14"/>
      <c r="K142" s="12"/>
      <c r="L142" s="14"/>
      <c r="M142" s="14"/>
      <c r="N142" s="12"/>
      <c r="O142" s="12"/>
      <c r="P142" s="15" t="str">
        <f aca="false">IF(M142="","",EDATE(M142,6))</f>
        <v/>
      </c>
      <c r="Q142" s="15" t="str">
        <f aca="false">IF(W142="","",IF(WEEKDAY(W142)=1,W142+1,W142))</f>
        <v/>
      </c>
      <c r="R142" s="13" t="str">
        <f aca="true">IF(Q142="","",IF(AND(N(K142)&gt;=3,G142&lt;&gt;"Perdido"),"Mover para Perdido",IF(Q142&lt;TODAY(),"Atrasado",IF(Q142=TODAY(),"Hoje","No prazo"))))</f>
        <v/>
      </c>
      <c r="S142" s="12"/>
      <c r="T142" s="12"/>
      <c r="U142" s="12"/>
      <c r="V142" s="7"/>
      <c r="W142" s="15" t="str">
        <f aca="true">IF(G142="","",IF(OR(G142="Novo contato",G142="Em conversa"),IF(J142="",TODAY(),J142+1),IF(G142="Avaliação marcada",IF(L142="",TODAY(),L142-1),IF(G142="Proposta enviada",IF(J142="",TODAY(),J142+2),IF(G142="Fechou pacote",IF(J142="",TODAY(),J142+7),IF(G142="Em tratamento",IF(M142="",TODAY(),IF(TODAY()&lt;=M142+1,M142+1,EDATE(M142,6)-30)),IF(G142="Pós-venda",IF(J142="",TODAY(),J142+7),IF(G142="Perdido",IF(J142="",TODAY(),J142+60),""))))))))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3" t="str">
        <f aca="false">IF(OR(E143="",E143="A completar",E143="Ainda não sabe"),"",IF(OR(E143="Limpeza de pele",E143="Peeling de diamante",E143="Microagulhamento"),"Rosto","Corpo"))</f>
        <v/>
      </c>
      <c r="G143" s="12"/>
      <c r="H143" s="12"/>
      <c r="I143" s="12"/>
      <c r="J143" s="14"/>
      <c r="K143" s="12"/>
      <c r="L143" s="14"/>
      <c r="M143" s="14"/>
      <c r="N143" s="12"/>
      <c r="O143" s="12"/>
      <c r="P143" s="15" t="str">
        <f aca="false">IF(M143="","",EDATE(M143,6))</f>
        <v/>
      </c>
      <c r="Q143" s="15" t="str">
        <f aca="false">IF(W143="","",IF(WEEKDAY(W143)=1,W143+1,W143))</f>
        <v/>
      </c>
      <c r="R143" s="13" t="str">
        <f aca="true">IF(Q143="","",IF(AND(N(K143)&gt;=3,G143&lt;&gt;"Perdido"),"Mover para Perdido",IF(Q143&lt;TODAY(),"Atrasado",IF(Q143=TODAY(),"Hoje","No prazo"))))</f>
        <v/>
      </c>
      <c r="S143" s="12"/>
      <c r="T143" s="12"/>
      <c r="U143" s="12"/>
      <c r="V143" s="7"/>
      <c r="W143" s="15" t="str">
        <f aca="true">IF(G143="","",IF(OR(G143="Novo contato",G143="Em conversa"),IF(J143="",TODAY(),J143+1),IF(G143="Avaliação marcada",IF(L143="",TODAY(),L143-1),IF(G143="Proposta enviada",IF(J143="",TODAY(),J143+2),IF(G143="Fechou pacote",IF(J143="",TODAY(),J143+7),IF(G143="Em tratamento",IF(M143="",TODAY(),IF(TODAY()&lt;=M143+1,M143+1,EDATE(M143,6)-30)),IF(G143="Pós-venda",IF(J143="",TODAY(),J143+7),IF(G143="Perdido",IF(J143="",TODAY(),J143+60),""))))))))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3" t="str">
        <f aca="false">IF(OR(E144="",E144="A completar",E144="Ainda não sabe"),"",IF(OR(E144="Limpeza de pele",E144="Peeling de diamante",E144="Microagulhamento"),"Rosto","Corpo"))</f>
        <v/>
      </c>
      <c r="G144" s="12"/>
      <c r="H144" s="12"/>
      <c r="I144" s="12"/>
      <c r="J144" s="14"/>
      <c r="K144" s="12"/>
      <c r="L144" s="14"/>
      <c r="M144" s="14"/>
      <c r="N144" s="12"/>
      <c r="O144" s="12"/>
      <c r="P144" s="15" t="str">
        <f aca="false">IF(M144="","",EDATE(M144,6))</f>
        <v/>
      </c>
      <c r="Q144" s="15" t="str">
        <f aca="false">IF(W144="","",IF(WEEKDAY(W144)=1,W144+1,W144))</f>
        <v/>
      </c>
      <c r="R144" s="13" t="str">
        <f aca="true">IF(Q144="","",IF(AND(N(K144)&gt;=3,G144&lt;&gt;"Perdido"),"Mover para Perdido",IF(Q144&lt;TODAY(),"Atrasado",IF(Q144=TODAY(),"Hoje","No prazo"))))</f>
        <v/>
      </c>
      <c r="S144" s="12"/>
      <c r="T144" s="12"/>
      <c r="U144" s="12"/>
      <c r="V144" s="7"/>
      <c r="W144" s="15" t="str">
        <f aca="true">IF(G144="","",IF(OR(G144="Novo contato",G144="Em conversa"),IF(J144="",TODAY(),J144+1),IF(G144="Avaliação marcada",IF(L144="",TODAY(),L144-1),IF(G144="Proposta enviada",IF(J144="",TODAY(),J144+2),IF(G144="Fechou pacote",IF(J144="",TODAY(),J144+7),IF(G144="Em tratamento",IF(M144="",TODAY(),IF(TODAY()&lt;=M144+1,M144+1,EDATE(M144,6)-30)),IF(G144="Pós-venda",IF(J144="",TODAY(),J144+7),IF(G144="Perdido",IF(J144="",TODAY(),J144+60),""))))))))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3" t="str">
        <f aca="false">IF(OR(E145="",E145="A completar",E145="Ainda não sabe"),"",IF(OR(E145="Limpeza de pele",E145="Peeling de diamante",E145="Microagulhamento"),"Rosto","Corpo"))</f>
        <v/>
      </c>
      <c r="G145" s="12"/>
      <c r="H145" s="12"/>
      <c r="I145" s="12"/>
      <c r="J145" s="14"/>
      <c r="K145" s="12"/>
      <c r="L145" s="14"/>
      <c r="M145" s="14"/>
      <c r="N145" s="12"/>
      <c r="O145" s="12"/>
      <c r="P145" s="15" t="str">
        <f aca="false">IF(M145="","",EDATE(M145,6))</f>
        <v/>
      </c>
      <c r="Q145" s="15" t="str">
        <f aca="false">IF(W145="","",IF(WEEKDAY(W145)=1,W145+1,W145))</f>
        <v/>
      </c>
      <c r="R145" s="13" t="str">
        <f aca="true">IF(Q145="","",IF(AND(N(K145)&gt;=3,G145&lt;&gt;"Perdido"),"Mover para Perdido",IF(Q145&lt;TODAY(),"Atrasado",IF(Q145=TODAY(),"Hoje","No prazo"))))</f>
        <v/>
      </c>
      <c r="S145" s="12"/>
      <c r="T145" s="12"/>
      <c r="U145" s="12"/>
      <c r="V145" s="7"/>
      <c r="W145" s="15" t="str">
        <f aca="true">IF(G145="","",IF(OR(G145="Novo contato",G145="Em conversa"),IF(J145="",TODAY(),J145+1),IF(G145="Avaliação marcada",IF(L145="",TODAY(),L145-1),IF(G145="Proposta enviada",IF(J145="",TODAY(),J145+2),IF(G145="Fechou pacote",IF(J145="",TODAY(),J145+7),IF(G145="Em tratamento",IF(M145="",TODAY(),IF(TODAY()&lt;=M145+1,M145+1,EDATE(M145,6)-30)),IF(G145="Pós-venda",IF(J145="",TODAY(),J145+7),IF(G145="Perdido",IF(J145="",TODAY(),J145+60),""))))))))</f>
        <v/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3" t="str">
        <f aca="false">IF(OR(E146="",E146="A completar",E146="Ainda não sabe"),"",IF(OR(E146="Limpeza de pele",E146="Peeling de diamante",E146="Microagulhamento"),"Rosto","Corpo"))</f>
        <v/>
      </c>
      <c r="G146" s="12"/>
      <c r="H146" s="12"/>
      <c r="I146" s="12"/>
      <c r="J146" s="14"/>
      <c r="K146" s="12"/>
      <c r="L146" s="14"/>
      <c r="M146" s="14"/>
      <c r="N146" s="12"/>
      <c r="O146" s="12"/>
      <c r="P146" s="15" t="str">
        <f aca="false">IF(M146="","",EDATE(M146,6))</f>
        <v/>
      </c>
      <c r="Q146" s="15" t="str">
        <f aca="false">IF(W146="","",IF(WEEKDAY(W146)=1,W146+1,W146))</f>
        <v/>
      </c>
      <c r="R146" s="13" t="str">
        <f aca="true">IF(Q146="","",IF(AND(N(K146)&gt;=3,G146&lt;&gt;"Perdido"),"Mover para Perdido",IF(Q146&lt;TODAY(),"Atrasado",IF(Q146=TODAY(),"Hoje","No prazo"))))</f>
        <v/>
      </c>
      <c r="S146" s="12"/>
      <c r="T146" s="12"/>
      <c r="U146" s="12"/>
      <c r="V146" s="7"/>
      <c r="W146" s="15" t="str">
        <f aca="true">IF(G146="","",IF(OR(G146="Novo contato",G146="Em conversa"),IF(J146="",TODAY(),J146+1),IF(G146="Avaliação marcada",IF(L146="",TODAY(),L146-1),IF(G146="Proposta enviada",IF(J146="",TODAY(),J146+2),IF(G146="Fechou pacote",IF(J146="",TODAY(),J146+7),IF(G146="Em tratamento",IF(M146="",TODAY(),IF(TODAY()&lt;=M146+1,M146+1,EDATE(M146,6)-30)),IF(G146="Pós-venda",IF(J146="",TODAY(),J146+7),IF(G146="Perdido",IF(J146="",TODAY(),J146+60),""))))))))</f>
        <v/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3" t="str">
        <f aca="false">IF(OR(E147="",E147="A completar",E147="Ainda não sabe"),"",IF(OR(E147="Limpeza de pele",E147="Peeling de diamante",E147="Microagulhamento"),"Rosto","Corpo"))</f>
        <v/>
      </c>
      <c r="G147" s="12"/>
      <c r="H147" s="12"/>
      <c r="I147" s="12"/>
      <c r="J147" s="14"/>
      <c r="K147" s="12"/>
      <c r="L147" s="14"/>
      <c r="M147" s="14"/>
      <c r="N147" s="12"/>
      <c r="O147" s="12"/>
      <c r="P147" s="15" t="str">
        <f aca="false">IF(M147="","",EDATE(M147,6))</f>
        <v/>
      </c>
      <c r="Q147" s="15" t="str">
        <f aca="false">IF(W147="","",IF(WEEKDAY(W147)=1,W147+1,W147))</f>
        <v/>
      </c>
      <c r="R147" s="13" t="str">
        <f aca="true">IF(Q147="","",IF(AND(N(K147)&gt;=3,G147&lt;&gt;"Perdido"),"Mover para Perdido",IF(Q147&lt;TODAY(),"Atrasado",IF(Q147=TODAY(),"Hoje","No prazo"))))</f>
        <v/>
      </c>
      <c r="S147" s="12"/>
      <c r="T147" s="12"/>
      <c r="U147" s="12"/>
      <c r="V147" s="7"/>
      <c r="W147" s="15" t="str">
        <f aca="true">IF(G147="","",IF(OR(G147="Novo contato",G147="Em conversa"),IF(J147="",TODAY(),J147+1),IF(G147="Avaliação marcada",IF(L147="",TODAY(),L147-1),IF(G147="Proposta enviada",IF(J147="",TODAY(),J147+2),IF(G147="Fechou pacote",IF(J147="",TODAY(),J147+7),IF(G147="Em tratamento",IF(M147="",TODAY(),IF(TODAY()&lt;=M147+1,M147+1,EDATE(M147,6)-30)),IF(G147="Pós-venda",IF(J147="",TODAY(),J147+7),IF(G147="Perdido",IF(J147="",TODAY(),J147+60),""))))))))</f>
        <v/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3" t="str">
        <f aca="false">IF(OR(E148="",E148="A completar",E148="Ainda não sabe"),"",IF(OR(E148="Limpeza de pele",E148="Peeling de diamante",E148="Microagulhamento"),"Rosto","Corpo"))</f>
        <v/>
      </c>
      <c r="G148" s="12"/>
      <c r="H148" s="12"/>
      <c r="I148" s="12"/>
      <c r="J148" s="14"/>
      <c r="K148" s="12"/>
      <c r="L148" s="14"/>
      <c r="M148" s="14"/>
      <c r="N148" s="12"/>
      <c r="O148" s="12"/>
      <c r="P148" s="15" t="str">
        <f aca="false">IF(M148="","",EDATE(M148,6))</f>
        <v/>
      </c>
      <c r="Q148" s="15" t="str">
        <f aca="false">IF(W148="","",IF(WEEKDAY(W148)=1,W148+1,W148))</f>
        <v/>
      </c>
      <c r="R148" s="13" t="str">
        <f aca="true">IF(Q148="","",IF(AND(N(K148)&gt;=3,G148&lt;&gt;"Perdido"),"Mover para Perdido",IF(Q148&lt;TODAY(),"Atrasado",IF(Q148=TODAY(),"Hoje","No prazo"))))</f>
        <v/>
      </c>
      <c r="S148" s="12"/>
      <c r="T148" s="12"/>
      <c r="U148" s="12"/>
      <c r="V148" s="7"/>
      <c r="W148" s="15" t="str">
        <f aca="true">IF(G148="","",IF(OR(G148="Novo contato",G148="Em conversa"),IF(J148="",TODAY(),J148+1),IF(G148="Avaliação marcada",IF(L148="",TODAY(),L148-1),IF(G148="Proposta enviada",IF(J148="",TODAY(),J148+2),IF(G148="Fechou pacote",IF(J148="",TODAY(),J148+7),IF(G148="Em tratamento",IF(M148="",TODAY(),IF(TODAY()&lt;=M148+1,M148+1,EDATE(M148,6)-30)),IF(G148="Pós-venda",IF(J148="",TODAY(),J148+7),IF(G148="Perdido",IF(J148="",TODAY(),J148+60),""))))))))</f>
        <v/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3" t="str">
        <f aca="false">IF(OR(E149="",E149="A completar",E149="Ainda não sabe"),"",IF(OR(E149="Limpeza de pele",E149="Peeling de diamante",E149="Microagulhamento"),"Rosto","Corpo"))</f>
        <v/>
      </c>
      <c r="G149" s="12"/>
      <c r="H149" s="12"/>
      <c r="I149" s="12"/>
      <c r="J149" s="14"/>
      <c r="K149" s="12"/>
      <c r="L149" s="14"/>
      <c r="M149" s="14"/>
      <c r="N149" s="12"/>
      <c r="O149" s="12"/>
      <c r="P149" s="15" t="str">
        <f aca="false">IF(M149="","",EDATE(M149,6))</f>
        <v/>
      </c>
      <c r="Q149" s="15" t="str">
        <f aca="false">IF(W149="","",IF(WEEKDAY(W149)=1,W149+1,W149))</f>
        <v/>
      </c>
      <c r="R149" s="13" t="str">
        <f aca="true">IF(Q149="","",IF(AND(N(K149)&gt;=3,G149&lt;&gt;"Perdido"),"Mover para Perdido",IF(Q149&lt;TODAY(),"Atrasado",IF(Q149=TODAY(),"Hoje","No prazo"))))</f>
        <v/>
      </c>
      <c r="S149" s="12"/>
      <c r="T149" s="12"/>
      <c r="U149" s="12"/>
      <c r="V149" s="7"/>
      <c r="W149" s="15" t="str">
        <f aca="true">IF(G149="","",IF(OR(G149="Novo contato",G149="Em conversa"),IF(J149="",TODAY(),J149+1),IF(G149="Avaliação marcada",IF(L149="",TODAY(),L149-1),IF(G149="Proposta enviada",IF(J149="",TODAY(),J149+2),IF(G149="Fechou pacote",IF(J149="",TODAY(),J149+7),IF(G149="Em tratamento",IF(M149="",TODAY(),IF(TODAY()&lt;=M149+1,M149+1,EDATE(M149,6)-30)),IF(G149="Pós-venda",IF(J149="",TODAY(),J149+7),IF(G149="Perdido",IF(J149="",TODAY(),J149+60),""))))))))</f>
        <v/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3" t="str">
        <f aca="false">IF(OR(E150="",E150="A completar",E150="Ainda não sabe"),"",IF(OR(E150="Limpeza de pele",E150="Peeling de diamante",E150="Microagulhamento"),"Rosto","Corpo"))</f>
        <v/>
      </c>
      <c r="G150" s="12"/>
      <c r="H150" s="12"/>
      <c r="I150" s="12"/>
      <c r="J150" s="14"/>
      <c r="K150" s="12"/>
      <c r="L150" s="14"/>
      <c r="M150" s="14"/>
      <c r="N150" s="12"/>
      <c r="O150" s="12"/>
      <c r="P150" s="15" t="str">
        <f aca="false">IF(M150="","",EDATE(M150,6))</f>
        <v/>
      </c>
      <c r="Q150" s="15" t="str">
        <f aca="false">IF(W150="","",IF(WEEKDAY(W150)=1,W150+1,W150))</f>
        <v/>
      </c>
      <c r="R150" s="13" t="str">
        <f aca="true">IF(Q150="","",IF(AND(N(K150)&gt;=3,G150&lt;&gt;"Perdido"),"Mover para Perdido",IF(Q150&lt;TODAY(),"Atrasado",IF(Q150=TODAY(),"Hoje","No prazo"))))</f>
        <v/>
      </c>
      <c r="S150" s="12"/>
      <c r="T150" s="12"/>
      <c r="U150" s="12"/>
      <c r="V150" s="7"/>
      <c r="W150" s="15" t="str">
        <f aca="true">IF(G150="","",IF(OR(G150="Novo contato",G150="Em conversa"),IF(J150="",TODAY(),J150+1),IF(G150="Avaliação marcada",IF(L150="",TODAY(),L150-1),IF(G150="Proposta enviada",IF(J150="",TODAY(),J150+2),IF(G150="Fechou pacote",IF(J150="",TODAY(),J150+7),IF(G150="Em tratamento",IF(M150="",TODAY(),IF(TODAY()&lt;=M150+1,M150+1,EDATE(M150,6)-30)),IF(G150="Pós-venda",IF(J150="",TODAY(),J150+7),IF(G150="Perdido",IF(J150="",TODAY(),J150+60),""))))))))</f>
        <v/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3" t="str">
        <f aca="false">IF(OR(E151="",E151="A completar",E151="Ainda não sabe"),"",IF(OR(E151="Limpeza de pele",E151="Peeling de diamante",E151="Microagulhamento"),"Rosto","Corpo"))</f>
        <v/>
      </c>
      <c r="G151" s="12"/>
      <c r="H151" s="12"/>
      <c r="I151" s="12"/>
      <c r="J151" s="14"/>
      <c r="K151" s="12"/>
      <c r="L151" s="14"/>
      <c r="M151" s="14"/>
      <c r="N151" s="12"/>
      <c r="O151" s="12"/>
      <c r="P151" s="15" t="str">
        <f aca="false">IF(M151="","",EDATE(M151,6))</f>
        <v/>
      </c>
      <c r="Q151" s="15" t="str">
        <f aca="false">IF(W151="","",IF(WEEKDAY(W151)=1,W151+1,W151))</f>
        <v/>
      </c>
      <c r="R151" s="13" t="str">
        <f aca="true">IF(Q151="","",IF(AND(N(K151)&gt;=3,G151&lt;&gt;"Perdido"),"Mover para Perdido",IF(Q151&lt;TODAY(),"Atrasado",IF(Q151=TODAY(),"Hoje","No prazo"))))</f>
        <v/>
      </c>
      <c r="S151" s="12"/>
      <c r="T151" s="12"/>
      <c r="U151" s="12"/>
      <c r="V151" s="7"/>
      <c r="W151" s="15" t="str">
        <f aca="true">IF(G151="","",IF(OR(G151="Novo contato",G151="Em conversa"),IF(J151="",TODAY(),J151+1),IF(G151="Avaliação marcada",IF(L151="",TODAY(),L151-1),IF(G151="Proposta enviada",IF(J151="",TODAY(),J151+2),IF(G151="Fechou pacote",IF(J151="",TODAY(),J151+7),IF(G151="Em tratamento",IF(M151="",TODAY(),IF(TODAY()&lt;=M151+1,M151+1,EDATE(M151,6)-30)),IF(G151="Pós-venda",IF(J151="",TODAY(),J151+7),IF(G151="Perdido",IF(J151="",TODAY(),J151+60),""))))))))</f>
        <v/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3" t="str">
        <f aca="false">IF(OR(E152="",E152="A completar",E152="Ainda não sabe"),"",IF(OR(E152="Limpeza de pele",E152="Peeling de diamante",E152="Microagulhamento"),"Rosto","Corpo"))</f>
        <v/>
      </c>
      <c r="G152" s="12"/>
      <c r="H152" s="12"/>
      <c r="I152" s="12"/>
      <c r="J152" s="14"/>
      <c r="K152" s="12"/>
      <c r="L152" s="14"/>
      <c r="M152" s="14"/>
      <c r="N152" s="12"/>
      <c r="O152" s="12"/>
      <c r="P152" s="15" t="str">
        <f aca="false">IF(M152="","",EDATE(M152,6))</f>
        <v/>
      </c>
      <c r="Q152" s="15" t="str">
        <f aca="false">IF(W152="","",IF(WEEKDAY(W152)=1,W152+1,W152))</f>
        <v/>
      </c>
      <c r="R152" s="13" t="str">
        <f aca="true">IF(Q152="","",IF(AND(N(K152)&gt;=3,G152&lt;&gt;"Perdido"),"Mover para Perdido",IF(Q152&lt;TODAY(),"Atrasado",IF(Q152=TODAY(),"Hoje","No prazo"))))</f>
        <v/>
      </c>
      <c r="S152" s="12"/>
      <c r="T152" s="12"/>
      <c r="U152" s="12"/>
      <c r="V152" s="7"/>
      <c r="W152" s="15" t="str">
        <f aca="true">IF(G152="","",IF(OR(G152="Novo contato",G152="Em conversa"),IF(J152="",TODAY(),J152+1),IF(G152="Avaliação marcada",IF(L152="",TODAY(),L152-1),IF(G152="Proposta enviada",IF(J152="",TODAY(),J152+2),IF(G152="Fechou pacote",IF(J152="",TODAY(),J152+7),IF(G152="Em tratamento",IF(M152="",TODAY(),IF(TODAY()&lt;=M152+1,M152+1,EDATE(M152,6)-30)),IF(G152="Pós-venda",IF(J152="",TODAY(),J152+7),IF(G152="Perdido",IF(J152="",TODAY(),J152+60),""))))))))</f>
        <v/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3" t="str">
        <f aca="false">IF(OR(E153="",E153="A completar",E153="Ainda não sabe"),"",IF(OR(E153="Limpeza de pele",E153="Peeling de diamante",E153="Microagulhamento"),"Rosto","Corpo"))</f>
        <v/>
      </c>
      <c r="G153" s="12"/>
      <c r="H153" s="12"/>
      <c r="I153" s="12"/>
      <c r="J153" s="14"/>
      <c r="K153" s="12"/>
      <c r="L153" s="14"/>
      <c r="M153" s="14"/>
      <c r="N153" s="12"/>
      <c r="O153" s="12"/>
      <c r="P153" s="15" t="str">
        <f aca="false">IF(M153="","",EDATE(M153,6))</f>
        <v/>
      </c>
      <c r="Q153" s="15" t="str">
        <f aca="false">IF(W153="","",IF(WEEKDAY(W153)=1,W153+1,W153))</f>
        <v/>
      </c>
      <c r="R153" s="13" t="str">
        <f aca="true">IF(Q153="","",IF(AND(N(K153)&gt;=3,G153&lt;&gt;"Perdido"),"Mover para Perdido",IF(Q153&lt;TODAY(),"Atrasado",IF(Q153=TODAY(),"Hoje","No prazo"))))</f>
        <v/>
      </c>
      <c r="S153" s="12"/>
      <c r="T153" s="12"/>
      <c r="U153" s="12"/>
      <c r="V153" s="7"/>
      <c r="W153" s="15" t="str">
        <f aca="true">IF(G153="","",IF(OR(G153="Novo contato",G153="Em conversa"),IF(J153="",TODAY(),J153+1),IF(G153="Avaliação marcada",IF(L153="",TODAY(),L153-1),IF(G153="Proposta enviada",IF(J153="",TODAY(),J153+2),IF(G153="Fechou pacote",IF(J153="",TODAY(),J153+7),IF(G153="Em tratamento",IF(M153="",TODAY(),IF(TODAY()&lt;=M153+1,M153+1,EDATE(M153,6)-30)),IF(G153="Pós-venda",IF(J153="",TODAY(),J153+7),IF(G153="Perdido",IF(J153="",TODAY(),J153+60),""))))))))</f>
        <v/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3" t="str">
        <f aca="false">IF(OR(E154="",E154="A completar",E154="Ainda não sabe"),"",IF(OR(E154="Limpeza de pele",E154="Peeling de diamante",E154="Microagulhamento"),"Rosto","Corpo"))</f>
        <v/>
      </c>
      <c r="G154" s="12"/>
      <c r="H154" s="12"/>
      <c r="I154" s="12"/>
      <c r="J154" s="14"/>
      <c r="K154" s="12"/>
      <c r="L154" s="14"/>
      <c r="M154" s="14"/>
      <c r="N154" s="12"/>
      <c r="O154" s="12"/>
      <c r="P154" s="15" t="str">
        <f aca="false">IF(M154="","",EDATE(M154,6))</f>
        <v/>
      </c>
      <c r="Q154" s="15" t="str">
        <f aca="false">IF(W154="","",IF(WEEKDAY(W154)=1,W154+1,W154))</f>
        <v/>
      </c>
      <c r="R154" s="13" t="str">
        <f aca="true">IF(Q154="","",IF(AND(N(K154)&gt;=3,G154&lt;&gt;"Perdido"),"Mover para Perdido",IF(Q154&lt;TODAY(),"Atrasado",IF(Q154=TODAY(),"Hoje","No prazo"))))</f>
        <v/>
      </c>
      <c r="S154" s="12"/>
      <c r="T154" s="12"/>
      <c r="U154" s="12"/>
      <c r="V154" s="7"/>
      <c r="W154" s="15" t="str">
        <f aca="true">IF(G154="","",IF(OR(G154="Novo contato",G154="Em conversa"),IF(J154="",TODAY(),J154+1),IF(G154="Avaliação marcada",IF(L154="",TODAY(),L154-1),IF(G154="Proposta enviada",IF(J154="",TODAY(),J154+2),IF(G154="Fechou pacote",IF(J154="",TODAY(),J154+7),IF(G154="Em tratamento",IF(M154="",TODAY(),IF(TODAY()&lt;=M154+1,M154+1,EDATE(M154,6)-30)),IF(G154="Pós-venda",IF(J154="",TODAY(),J154+7),IF(G154="Perdido",IF(J154="",TODAY(),J154+60),""))))))))</f>
        <v/>
      </c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3" t="str">
        <f aca="false">IF(OR(E155="",E155="A completar",E155="Ainda não sabe"),"",IF(OR(E155="Limpeza de pele",E155="Peeling de diamante",E155="Microagulhamento"),"Rosto","Corpo"))</f>
        <v/>
      </c>
      <c r="G155" s="12"/>
      <c r="H155" s="12"/>
      <c r="I155" s="12"/>
      <c r="J155" s="14"/>
      <c r="K155" s="12"/>
      <c r="L155" s="14"/>
      <c r="M155" s="14"/>
      <c r="N155" s="12"/>
      <c r="O155" s="12"/>
      <c r="P155" s="15" t="str">
        <f aca="false">IF(M155="","",EDATE(M155,6))</f>
        <v/>
      </c>
      <c r="Q155" s="15" t="str">
        <f aca="false">IF(W155="","",IF(WEEKDAY(W155)=1,W155+1,W155))</f>
        <v/>
      </c>
      <c r="R155" s="13" t="str">
        <f aca="true">IF(Q155="","",IF(AND(N(K155)&gt;=3,G155&lt;&gt;"Perdido"),"Mover para Perdido",IF(Q155&lt;TODAY(),"Atrasado",IF(Q155=TODAY(),"Hoje","No prazo"))))</f>
        <v/>
      </c>
      <c r="S155" s="12"/>
      <c r="T155" s="12"/>
      <c r="U155" s="12"/>
      <c r="V155" s="7"/>
      <c r="W155" s="15" t="str">
        <f aca="true">IF(G155="","",IF(OR(G155="Novo contato",G155="Em conversa"),IF(J155="",TODAY(),J155+1),IF(G155="Avaliação marcada",IF(L155="",TODAY(),L155-1),IF(G155="Proposta enviada",IF(J155="",TODAY(),J155+2),IF(G155="Fechou pacote",IF(J155="",TODAY(),J155+7),IF(G155="Em tratamento",IF(M155="",TODAY(),IF(TODAY()&lt;=M155+1,M155+1,EDATE(M155,6)-30)),IF(G155="Pós-venda",IF(J155="",TODAY(),J155+7),IF(G155="Perdido",IF(J155="",TODAY(),J155+60),""))))))))</f>
        <v/>
      </c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3" t="str">
        <f aca="false">IF(OR(E156="",E156="A completar",E156="Ainda não sabe"),"",IF(OR(E156="Limpeza de pele",E156="Peeling de diamante",E156="Microagulhamento"),"Rosto","Corpo"))</f>
        <v/>
      </c>
      <c r="G156" s="12"/>
      <c r="H156" s="12"/>
      <c r="I156" s="12"/>
      <c r="J156" s="14"/>
      <c r="K156" s="12"/>
      <c r="L156" s="14"/>
      <c r="M156" s="14"/>
      <c r="N156" s="12"/>
      <c r="O156" s="12"/>
      <c r="P156" s="15" t="str">
        <f aca="false">IF(M156="","",EDATE(M156,6))</f>
        <v/>
      </c>
      <c r="Q156" s="15" t="str">
        <f aca="false">IF(W156="","",IF(WEEKDAY(W156)=1,W156+1,W156))</f>
        <v/>
      </c>
      <c r="R156" s="13" t="str">
        <f aca="true">IF(Q156="","",IF(AND(N(K156)&gt;=3,G156&lt;&gt;"Perdido"),"Mover para Perdido",IF(Q156&lt;TODAY(),"Atrasado",IF(Q156=TODAY(),"Hoje","No prazo"))))</f>
        <v/>
      </c>
      <c r="S156" s="12"/>
      <c r="T156" s="12"/>
      <c r="U156" s="12"/>
      <c r="V156" s="7"/>
      <c r="W156" s="15" t="str">
        <f aca="true">IF(G156="","",IF(OR(G156="Novo contato",G156="Em conversa"),IF(J156="",TODAY(),J156+1),IF(G156="Avaliação marcada",IF(L156="",TODAY(),L156-1),IF(G156="Proposta enviada",IF(J156="",TODAY(),J156+2),IF(G156="Fechou pacote",IF(J156="",TODAY(),J156+7),IF(G156="Em tratamento",IF(M156="",TODAY(),IF(TODAY()&lt;=M156+1,M156+1,EDATE(M156,6)-30)),IF(G156="Pós-venda",IF(J156="",TODAY(),J156+7),IF(G156="Perdido",IF(J156="",TODAY(),J156+60),""))))))))</f>
        <v/>
      </c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3" t="str">
        <f aca="false">IF(OR(E157="",E157="A completar",E157="Ainda não sabe"),"",IF(OR(E157="Limpeza de pele",E157="Peeling de diamante",E157="Microagulhamento"),"Rosto","Corpo"))</f>
        <v/>
      </c>
      <c r="G157" s="12"/>
      <c r="H157" s="12"/>
      <c r="I157" s="12"/>
      <c r="J157" s="14"/>
      <c r="K157" s="12"/>
      <c r="L157" s="14"/>
      <c r="M157" s="14"/>
      <c r="N157" s="12"/>
      <c r="O157" s="12"/>
      <c r="P157" s="15" t="str">
        <f aca="false">IF(M157="","",EDATE(M157,6))</f>
        <v/>
      </c>
      <c r="Q157" s="15" t="str">
        <f aca="false">IF(W157="","",IF(WEEKDAY(W157)=1,W157+1,W157))</f>
        <v/>
      </c>
      <c r="R157" s="13" t="str">
        <f aca="true">IF(Q157="","",IF(AND(N(K157)&gt;=3,G157&lt;&gt;"Perdido"),"Mover para Perdido",IF(Q157&lt;TODAY(),"Atrasado",IF(Q157=TODAY(),"Hoje","No prazo"))))</f>
        <v/>
      </c>
      <c r="S157" s="12"/>
      <c r="T157" s="12"/>
      <c r="U157" s="12"/>
      <c r="V157" s="7"/>
      <c r="W157" s="15" t="str">
        <f aca="true">IF(G157="","",IF(OR(G157="Novo contato",G157="Em conversa"),IF(J157="",TODAY(),J157+1),IF(G157="Avaliação marcada",IF(L157="",TODAY(),L157-1),IF(G157="Proposta enviada",IF(J157="",TODAY(),J157+2),IF(G157="Fechou pacote",IF(J157="",TODAY(),J157+7),IF(G157="Em tratamento",IF(M157="",TODAY(),IF(TODAY()&lt;=M157+1,M157+1,EDATE(M157,6)-30)),IF(G157="Pós-venda",IF(J157="",TODAY(),J157+7),IF(G157="Perdido",IF(J157="",TODAY(),J157+60),""))))))))</f>
        <v/>
      </c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3" t="str">
        <f aca="false">IF(OR(E158="",E158="A completar",E158="Ainda não sabe"),"",IF(OR(E158="Limpeza de pele",E158="Peeling de diamante",E158="Microagulhamento"),"Rosto","Corpo"))</f>
        <v/>
      </c>
      <c r="G158" s="12"/>
      <c r="H158" s="12"/>
      <c r="I158" s="12"/>
      <c r="J158" s="14"/>
      <c r="K158" s="12"/>
      <c r="L158" s="14"/>
      <c r="M158" s="14"/>
      <c r="N158" s="12"/>
      <c r="O158" s="12"/>
      <c r="P158" s="15" t="str">
        <f aca="false">IF(M158="","",EDATE(M158,6))</f>
        <v/>
      </c>
      <c r="Q158" s="15" t="str">
        <f aca="false">IF(W158="","",IF(WEEKDAY(W158)=1,W158+1,W158))</f>
        <v/>
      </c>
      <c r="R158" s="13" t="str">
        <f aca="true">IF(Q158="","",IF(AND(N(K158)&gt;=3,G158&lt;&gt;"Perdido"),"Mover para Perdido",IF(Q158&lt;TODAY(),"Atrasado",IF(Q158=TODAY(),"Hoje","No prazo"))))</f>
        <v/>
      </c>
      <c r="S158" s="12"/>
      <c r="T158" s="12"/>
      <c r="U158" s="12"/>
      <c r="V158" s="7"/>
      <c r="W158" s="15" t="str">
        <f aca="true">IF(G158="","",IF(OR(G158="Novo contato",G158="Em conversa"),IF(J158="",TODAY(),J158+1),IF(G158="Avaliação marcada",IF(L158="",TODAY(),L158-1),IF(G158="Proposta enviada",IF(J158="",TODAY(),J158+2),IF(G158="Fechou pacote",IF(J158="",TODAY(),J158+7),IF(G158="Em tratamento",IF(M158="",TODAY(),IF(TODAY()&lt;=M158+1,M158+1,EDATE(M158,6)-30)),IF(G158="Pós-venda",IF(J158="",TODAY(),J158+7),IF(G158="Perdido",IF(J158="",TODAY(),J158+60),""))))))))</f>
        <v/>
      </c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3" t="str">
        <f aca="false">IF(OR(E159="",E159="A completar",E159="Ainda não sabe"),"",IF(OR(E159="Limpeza de pele",E159="Peeling de diamante",E159="Microagulhamento"),"Rosto","Corpo"))</f>
        <v/>
      </c>
      <c r="G159" s="12"/>
      <c r="H159" s="12"/>
      <c r="I159" s="12"/>
      <c r="J159" s="14"/>
      <c r="K159" s="12"/>
      <c r="L159" s="14"/>
      <c r="M159" s="14"/>
      <c r="N159" s="12"/>
      <c r="O159" s="12"/>
      <c r="P159" s="15" t="str">
        <f aca="false">IF(M159="","",EDATE(M159,6))</f>
        <v/>
      </c>
      <c r="Q159" s="15" t="str">
        <f aca="false">IF(W159="","",IF(WEEKDAY(W159)=1,W159+1,W159))</f>
        <v/>
      </c>
      <c r="R159" s="13" t="str">
        <f aca="true">IF(Q159="","",IF(AND(N(K159)&gt;=3,G159&lt;&gt;"Perdido"),"Mover para Perdido",IF(Q159&lt;TODAY(),"Atrasado",IF(Q159=TODAY(),"Hoje","No prazo"))))</f>
        <v/>
      </c>
      <c r="S159" s="12"/>
      <c r="T159" s="12"/>
      <c r="U159" s="12"/>
      <c r="V159" s="7"/>
      <c r="W159" s="15" t="str">
        <f aca="true">IF(G159="","",IF(OR(G159="Novo contato",G159="Em conversa"),IF(J159="",TODAY(),J159+1),IF(G159="Avaliação marcada",IF(L159="",TODAY(),L159-1),IF(G159="Proposta enviada",IF(J159="",TODAY(),J159+2),IF(G159="Fechou pacote",IF(J159="",TODAY(),J159+7),IF(G159="Em tratamento",IF(M159="",TODAY(),IF(TODAY()&lt;=M159+1,M159+1,EDATE(M159,6)-30)),IF(G159="Pós-venda",IF(J159="",TODAY(),J159+7),IF(G159="Perdido",IF(J159="",TODAY(),J159+60),""))))))))</f>
        <v/>
      </c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3" t="str">
        <f aca="false">IF(OR(E160="",E160="A completar",E160="Ainda não sabe"),"",IF(OR(E160="Limpeza de pele",E160="Peeling de diamante",E160="Microagulhamento"),"Rosto","Corpo"))</f>
        <v/>
      </c>
      <c r="G160" s="12"/>
      <c r="H160" s="12"/>
      <c r="I160" s="12"/>
      <c r="J160" s="14"/>
      <c r="K160" s="12"/>
      <c r="L160" s="14"/>
      <c r="M160" s="14"/>
      <c r="N160" s="12"/>
      <c r="O160" s="12"/>
      <c r="P160" s="15" t="str">
        <f aca="false">IF(M160="","",EDATE(M160,6))</f>
        <v/>
      </c>
      <c r="Q160" s="15" t="str">
        <f aca="false">IF(W160="","",IF(WEEKDAY(W160)=1,W160+1,W160))</f>
        <v/>
      </c>
      <c r="R160" s="13" t="str">
        <f aca="true">IF(Q160="","",IF(AND(N(K160)&gt;=3,G160&lt;&gt;"Perdido"),"Mover para Perdido",IF(Q160&lt;TODAY(),"Atrasado",IF(Q160=TODAY(),"Hoje","No prazo"))))</f>
        <v/>
      </c>
      <c r="S160" s="12"/>
      <c r="T160" s="12"/>
      <c r="U160" s="12"/>
      <c r="V160" s="7"/>
      <c r="W160" s="15" t="str">
        <f aca="true">IF(G160="","",IF(OR(G160="Novo contato",G160="Em conversa"),IF(J160="",TODAY(),J160+1),IF(G160="Avaliação marcada",IF(L160="",TODAY(),L160-1),IF(G160="Proposta enviada",IF(J160="",TODAY(),J160+2),IF(G160="Fechou pacote",IF(J160="",TODAY(),J160+7),IF(G160="Em tratamento",IF(M160="",TODAY(),IF(TODAY()&lt;=M160+1,M160+1,EDATE(M160,6)-30)),IF(G160="Pós-venda",IF(J160="",TODAY(),J160+7),IF(G160="Perdido",IF(J160="",TODAY(),J160+60),""))))))))</f>
        <v/>
      </c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3" t="str">
        <f aca="false">IF(OR(E161="",E161="A completar",E161="Ainda não sabe"),"",IF(OR(E161="Limpeza de pele",E161="Peeling de diamante",E161="Microagulhamento"),"Rosto","Corpo"))</f>
        <v/>
      </c>
      <c r="G161" s="12"/>
      <c r="H161" s="12"/>
      <c r="I161" s="12"/>
      <c r="J161" s="14"/>
      <c r="K161" s="12"/>
      <c r="L161" s="14"/>
      <c r="M161" s="14"/>
      <c r="N161" s="12"/>
      <c r="O161" s="12"/>
      <c r="P161" s="15" t="str">
        <f aca="false">IF(M161="","",EDATE(M161,6))</f>
        <v/>
      </c>
      <c r="Q161" s="15" t="str">
        <f aca="false">IF(W161="","",IF(WEEKDAY(W161)=1,W161+1,W161))</f>
        <v/>
      </c>
      <c r="R161" s="13" t="str">
        <f aca="true">IF(Q161="","",IF(AND(N(K161)&gt;=3,G161&lt;&gt;"Perdido"),"Mover para Perdido",IF(Q161&lt;TODAY(),"Atrasado",IF(Q161=TODAY(),"Hoje","No prazo"))))</f>
        <v/>
      </c>
      <c r="S161" s="12"/>
      <c r="T161" s="12"/>
      <c r="U161" s="12"/>
      <c r="V161" s="7"/>
      <c r="W161" s="15" t="str">
        <f aca="true">IF(G161="","",IF(OR(G161="Novo contato",G161="Em conversa"),IF(J161="",TODAY(),J161+1),IF(G161="Avaliação marcada",IF(L161="",TODAY(),L161-1),IF(G161="Proposta enviada",IF(J161="",TODAY(),J161+2),IF(G161="Fechou pacote",IF(J161="",TODAY(),J161+7),IF(G161="Em tratamento",IF(M161="",TODAY(),IF(TODAY()&lt;=M161+1,M161+1,EDATE(M161,6)-30)),IF(G161="Pós-venda",IF(J161="",TODAY(),J161+7),IF(G161="Perdido",IF(J161="",TODAY(),J161+60),""))))))))</f>
        <v/>
      </c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3" t="str">
        <f aca="false">IF(OR(E162="",E162="A completar",E162="Ainda não sabe"),"",IF(OR(E162="Limpeza de pele",E162="Peeling de diamante",E162="Microagulhamento"),"Rosto","Corpo"))</f>
        <v/>
      </c>
      <c r="G162" s="12"/>
      <c r="H162" s="12"/>
      <c r="I162" s="12"/>
      <c r="J162" s="14"/>
      <c r="K162" s="12"/>
      <c r="L162" s="14"/>
      <c r="M162" s="14"/>
      <c r="N162" s="12"/>
      <c r="O162" s="12"/>
      <c r="P162" s="15" t="str">
        <f aca="false">IF(M162="","",EDATE(M162,6))</f>
        <v/>
      </c>
      <c r="Q162" s="15" t="str">
        <f aca="false">IF(W162="","",IF(WEEKDAY(W162)=1,W162+1,W162))</f>
        <v/>
      </c>
      <c r="R162" s="13" t="str">
        <f aca="true">IF(Q162="","",IF(AND(N(K162)&gt;=3,G162&lt;&gt;"Perdido"),"Mover para Perdido",IF(Q162&lt;TODAY(),"Atrasado",IF(Q162=TODAY(),"Hoje","No prazo"))))</f>
        <v/>
      </c>
      <c r="S162" s="12"/>
      <c r="T162" s="12"/>
      <c r="U162" s="12"/>
      <c r="V162" s="7"/>
      <c r="W162" s="15" t="str">
        <f aca="true">IF(G162="","",IF(OR(G162="Novo contato",G162="Em conversa"),IF(J162="",TODAY(),J162+1),IF(G162="Avaliação marcada",IF(L162="",TODAY(),L162-1),IF(G162="Proposta enviada",IF(J162="",TODAY(),J162+2),IF(G162="Fechou pacote",IF(J162="",TODAY(),J162+7),IF(G162="Em tratamento",IF(M162="",TODAY(),IF(TODAY()&lt;=M162+1,M162+1,EDATE(M162,6)-30)),IF(G162="Pós-venda",IF(J162="",TODAY(),J162+7),IF(G162="Perdido",IF(J162="",TODAY(),J162+60),""))))))))</f>
        <v/>
      </c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3" t="str">
        <f aca="false">IF(OR(E163="",E163="A completar",E163="Ainda não sabe"),"",IF(OR(E163="Limpeza de pele",E163="Peeling de diamante",E163="Microagulhamento"),"Rosto","Corpo"))</f>
        <v/>
      </c>
      <c r="G163" s="12"/>
      <c r="H163" s="12"/>
      <c r="I163" s="12"/>
      <c r="J163" s="14"/>
      <c r="K163" s="12"/>
      <c r="L163" s="14"/>
      <c r="M163" s="14"/>
      <c r="N163" s="12"/>
      <c r="O163" s="12"/>
      <c r="P163" s="15" t="str">
        <f aca="false">IF(M163="","",EDATE(M163,6))</f>
        <v/>
      </c>
      <c r="Q163" s="15" t="str">
        <f aca="false">IF(W163="","",IF(WEEKDAY(W163)=1,W163+1,W163))</f>
        <v/>
      </c>
      <c r="R163" s="13" t="str">
        <f aca="true">IF(Q163="","",IF(AND(N(K163)&gt;=3,G163&lt;&gt;"Perdido"),"Mover para Perdido",IF(Q163&lt;TODAY(),"Atrasado",IF(Q163=TODAY(),"Hoje","No prazo"))))</f>
        <v/>
      </c>
      <c r="S163" s="12"/>
      <c r="T163" s="12"/>
      <c r="U163" s="12"/>
      <c r="V163" s="7"/>
      <c r="W163" s="15" t="str">
        <f aca="true">IF(G163="","",IF(OR(G163="Novo contato",G163="Em conversa"),IF(J163="",TODAY(),J163+1),IF(G163="Avaliação marcada",IF(L163="",TODAY(),L163-1),IF(G163="Proposta enviada",IF(J163="",TODAY(),J163+2),IF(G163="Fechou pacote",IF(J163="",TODAY(),J163+7),IF(G163="Em tratamento",IF(M163="",TODAY(),IF(TODAY()&lt;=M163+1,M163+1,EDATE(M163,6)-30)),IF(G163="Pós-venda",IF(J163="",TODAY(),J163+7),IF(G163="Perdido",IF(J163="",TODAY(),J163+60),""))))))))</f>
        <v/>
      </c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3" t="str">
        <f aca="false">IF(OR(E164="",E164="A completar",E164="Ainda não sabe"),"",IF(OR(E164="Limpeza de pele",E164="Peeling de diamante",E164="Microagulhamento"),"Rosto","Corpo"))</f>
        <v/>
      </c>
      <c r="G164" s="12"/>
      <c r="H164" s="12"/>
      <c r="I164" s="12"/>
      <c r="J164" s="14"/>
      <c r="K164" s="12"/>
      <c r="L164" s="14"/>
      <c r="M164" s="14"/>
      <c r="N164" s="12"/>
      <c r="O164" s="12"/>
      <c r="P164" s="15" t="str">
        <f aca="false">IF(M164="","",EDATE(M164,6))</f>
        <v/>
      </c>
      <c r="Q164" s="15" t="str">
        <f aca="false">IF(W164="","",IF(WEEKDAY(W164)=1,W164+1,W164))</f>
        <v/>
      </c>
      <c r="R164" s="13" t="str">
        <f aca="true">IF(Q164="","",IF(AND(N(K164)&gt;=3,G164&lt;&gt;"Perdido"),"Mover para Perdido",IF(Q164&lt;TODAY(),"Atrasado",IF(Q164=TODAY(),"Hoje","No prazo"))))</f>
        <v/>
      </c>
      <c r="S164" s="12"/>
      <c r="T164" s="12"/>
      <c r="U164" s="12"/>
      <c r="V164" s="7"/>
      <c r="W164" s="15" t="str">
        <f aca="true">IF(G164="","",IF(OR(G164="Novo contato",G164="Em conversa"),IF(J164="",TODAY(),J164+1),IF(G164="Avaliação marcada",IF(L164="",TODAY(),L164-1),IF(G164="Proposta enviada",IF(J164="",TODAY(),J164+2),IF(G164="Fechou pacote",IF(J164="",TODAY(),J164+7),IF(G164="Em tratamento",IF(M164="",TODAY(),IF(TODAY()&lt;=M164+1,M164+1,EDATE(M164,6)-30)),IF(G164="Pós-venda",IF(J164="",TODAY(),J164+7),IF(G164="Perdido",IF(J164="",TODAY(),J164+60),""))))))))</f>
        <v/>
      </c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3" t="str">
        <f aca="false">IF(OR(E165="",E165="A completar",E165="Ainda não sabe"),"",IF(OR(E165="Limpeza de pele",E165="Peeling de diamante",E165="Microagulhamento"),"Rosto","Corpo"))</f>
        <v/>
      </c>
      <c r="G165" s="12"/>
      <c r="H165" s="12"/>
      <c r="I165" s="12"/>
      <c r="J165" s="14"/>
      <c r="K165" s="12"/>
      <c r="L165" s="14"/>
      <c r="M165" s="14"/>
      <c r="N165" s="12"/>
      <c r="O165" s="12"/>
      <c r="P165" s="15" t="str">
        <f aca="false">IF(M165="","",EDATE(M165,6))</f>
        <v/>
      </c>
      <c r="Q165" s="15" t="str">
        <f aca="false">IF(W165="","",IF(WEEKDAY(W165)=1,W165+1,W165))</f>
        <v/>
      </c>
      <c r="R165" s="13" t="str">
        <f aca="true">IF(Q165="","",IF(AND(N(K165)&gt;=3,G165&lt;&gt;"Perdido"),"Mover para Perdido",IF(Q165&lt;TODAY(),"Atrasado",IF(Q165=TODAY(),"Hoje","No prazo"))))</f>
        <v/>
      </c>
      <c r="S165" s="12"/>
      <c r="T165" s="12"/>
      <c r="U165" s="12"/>
      <c r="V165" s="7"/>
      <c r="W165" s="15" t="str">
        <f aca="true">IF(G165="","",IF(OR(G165="Novo contato",G165="Em conversa"),IF(J165="",TODAY(),J165+1),IF(G165="Avaliação marcada",IF(L165="",TODAY(),L165-1),IF(G165="Proposta enviada",IF(J165="",TODAY(),J165+2),IF(G165="Fechou pacote",IF(J165="",TODAY(),J165+7),IF(G165="Em tratamento",IF(M165="",TODAY(),IF(TODAY()&lt;=M165+1,M165+1,EDATE(M165,6)-30)),IF(G165="Pós-venda",IF(J165="",TODAY(),J165+7),IF(G165="Perdido",IF(J165="",TODAY(),J165+60),""))))))))</f>
        <v/>
      </c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3" t="str">
        <f aca="false">IF(OR(E166="",E166="A completar",E166="Ainda não sabe"),"",IF(OR(E166="Limpeza de pele",E166="Peeling de diamante",E166="Microagulhamento"),"Rosto","Corpo"))</f>
        <v/>
      </c>
      <c r="G166" s="12"/>
      <c r="H166" s="12"/>
      <c r="I166" s="12"/>
      <c r="J166" s="14"/>
      <c r="K166" s="12"/>
      <c r="L166" s="14"/>
      <c r="M166" s="14"/>
      <c r="N166" s="12"/>
      <c r="O166" s="12"/>
      <c r="P166" s="15" t="str">
        <f aca="false">IF(M166="","",EDATE(M166,6))</f>
        <v/>
      </c>
      <c r="Q166" s="15" t="str">
        <f aca="false">IF(W166="","",IF(WEEKDAY(W166)=1,W166+1,W166))</f>
        <v/>
      </c>
      <c r="R166" s="13" t="str">
        <f aca="true">IF(Q166="","",IF(AND(N(K166)&gt;=3,G166&lt;&gt;"Perdido"),"Mover para Perdido",IF(Q166&lt;TODAY(),"Atrasado",IF(Q166=TODAY(),"Hoje","No prazo"))))</f>
        <v/>
      </c>
      <c r="S166" s="12"/>
      <c r="T166" s="12"/>
      <c r="U166" s="12"/>
      <c r="V166" s="7"/>
      <c r="W166" s="15" t="str">
        <f aca="true">IF(G166="","",IF(OR(G166="Novo contato",G166="Em conversa"),IF(J166="",TODAY(),J166+1),IF(G166="Avaliação marcada",IF(L166="",TODAY(),L166-1),IF(G166="Proposta enviada",IF(J166="",TODAY(),J166+2),IF(G166="Fechou pacote",IF(J166="",TODAY(),J166+7),IF(G166="Em tratamento",IF(M166="",TODAY(),IF(TODAY()&lt;=M166+1,M166+1,EDATE(M166,6)-30)),IF(G166="Pós-venda",IF(J166="",TODAY(),J166+7),IF(G166="Perdido",IF(J166="",TODAY(),J166+60),""))))))))</f>
        <v/>
      </c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3" t="str">
        <f aca="false">IF(OR(E167="",E167="A completar",E167="Ainda não sabe"),"",IF(OR(E167="Limpeza de pele",E167="Peeling de diamante",E167="Microagulhamento"),"Rosto","Corpo"))</f>
        <v/>
      </c>
      <c r="G167" s="12"/>
      <c r="H167" s="12"/>
      <c r="I167" s="12"/>
      <c r="J167" s="14"/>
      <c r="K167" s="12"/>
      <c r="L167" s="14"/>
      <c r="M167" s="14"/>
      <c r="N167" s="12"/>
      <c r="O167" s="12"/>
      <c r="P167" s="15" t="str">
        <f aca="false">IF(M167="","",EDATE(M167,6))</f>
        <v/>
      </c>
      <c r="Q167" s="15" t="str">
        <f aca="false">IF(W167="","",IF(WEEKDAY(W167)=1,W167+1,W167))</f>
        <v/>
      </c>
      <c r="R167" s="13" t="str">
        <f aca="true">IF(Q167="","",IF(AND(N(K167)&gt;=3,G167&lt;&gt;"Perdido"),"Mover para Perdido",IF(Q167&lt;TODAY(),"Atrasado",IF(Q167=TODAY(),"Hoje","No prazo"))))</f>
        <v/>
      </c>
      <c r="S167" s="12"/>
      <c r="T167" s="12"/>
      <c r="U167" s="12"/>
      <c r="V167" s="7"/>
      <c r="W167" s="15" t="str">
        <f aca="true">IF(G167="","",IF(OR(G167="Novo contato",G167="Em conversa"),IF(J167="",TODAY(),J167+1),IF(G167="Avaliação marcada",IF(L167="",TODAY(),L167-1),IF(G167="Proposta enviada",IF(J167="",TODAY(),J167+2),IF(G167="Fechou pacote",IF(J167="",TODAY(),J167+7),IF(G167="Em tratamento",IF(M167="",TODAY(),IF(TODAY()&lt;=M167+1,M167+1,EDATE(M167,6)-30)),IF(G167="Pós-venda",IF(J167="",TODAY(),J167+7),IF(G167="Perdido",IF(J167="",TODAY(),J167+60),""))))))))</f>
        <v/>
      </c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3" t="str">
        <f aca="false">IF(OR(E168="",E168="A completar",E168="Ainda não sabe"),"",IF(OR(E168="Limpeza de pele",E168="Peeling de diamante",E168="Microagulhamento"),"Rosto","Corpo"))</f>
        <v/>
      </c>
      <c r="G168" s="12"/>
      <c r="H168" s="12"/>
      <c r="I168" s="12"/>
      <c r="J168" s="14"/>
      <c r="K168" s="12"/>
      <c r="L168" s="14"/>
      <c r="M168" s="14"/>
      <c r="N168" s="12"/>
      <c r="O168" s="12"/>
      <c r="P168" s="15" t="str">
        <f aca="false">IF(M168="","",EDATE(M168,6))</f>
        <v/>
      </c>
      <c r="Q168" s="15" t="str">
        <f aca="false">IF(W168="","",IF(WEEKDAY(W168)=1,W168+1,W168))</f>
        <v/>
      </c>
      <c r="R168" s="13" t="str">
        <f aca="true">IF(Q168="","",IF(AND(N(K168)&gt;=3,G168&lt;&gt;"Perdido"),"Mover para Perdido",IF(Q168&lt;TODAY(),"Atrasado",IF(Q168=TODAY(),"Hoje","No prazo"))))</f>
        <v/>
      </c>
      <c r="S168" s="12"/>
      <c r="T168" s="12"/>
      <c r="U168" s="12"/>
      <c r="V168" s="7"/>
      <c r="W168" s="15" t="str">
        <f aca="true">IF(G168="","",IF(OR(G168="Novo contato",G168="Em conversa"),IF(J168="",TODAY(),J168+1),IF(G168="Avaliação marcada",IF(L168="",TODAY(),L168-1),IF(G168="Proposta enviada",IF(J168="",TODAY(),J168+2),IF(G168="Fechou pacote",IF(J168="",TODAY(),J168+7),IF(G168="Em tratamento",IF(M168="",TODAY(),IF(TODAY()&lt;=M168+1,M168+1,EDATE(M168,6)-30)),IF(G168="Pós-venda",IF(J168="",TODAY(),J168+7),IF(G168="Perdido",IF(J168="",TODAY(),J168+60),""))))))))</f>
        <v/>
      </c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3" t="str">
        <f aca="false">IF(OR(E169="",E169="A completar",E169="Ainda não sabe"),"",IF(OR(E169="Limpeza de pele",E169="Peeling de diamante",E169="Microagulhamento"),"Rosto","Corpo"))</f>
        <v/>
      </c>
      <c r="G169" s="12"/>
      <c r="H169" s="12"/>
      <c r="I169" s="12"/>
      <c r="J169" s="14"/>
      <c r="K169" s="12"/>
      <c r="L169" s="14"/>
      <c r="M169" s="14"/>
      <c r="N169" s="12"/>
      <c r="O169" s="12"/>
      <c r="P169" s="15" t="str">
        <f aca="false">IF(M169="","",EDATE(M169,6))</f>
        <v/>
      </c>
      <c r="Q169" s="15" t="str">
        <f aca="false">IF(W169="","",IF(WEEKDAY(W169)=1,W169+1,W169))</f>
        <v/>
      </c>
      <c r="R169" s="13" t="str">
        <f aca="true">IF(Q169="","",IF(AND(N(K169)&gt;=3,G169&lt;&gt;"Perdido"),"Mover para Perdido",IF(Q169&lt;TODAY(),"Atrasado",IF(Q169=TODAY(),"Hoje","No prazo"))))</f>
        <v/>
      </c>
      <c r="S169" s="12"/>
      <c r="T169" s="12"/>
      <c r="U169" s="12"/>
      <c r="V169" s="7"/>
      <c r="W169" s="15" t="str">
        <f aca="true">IF(G169="","",IF(OR(G169="Novo contato",G169="Em conversa"),IF(J169="",TODAY(),J169+1),IF(G169="Avaliação marcada",IF(L169="",TODAY(),L169-1),IF(G169="Proposta enviada",IF(J169="",TODAY(),J169+2),IF(G169="Fechou pacote",IF(J169="",TODAY(),J169+7),IF(G169="Em tratamento",IF(M169="",TODAY(),IF(TODAY()&lt;=M169+1,M169+1,EDATE(M169,6)-30)),IF(G169="Pós-venda",IF(J169="",TODAY(),J169+7),IF(G169="Perdido",IF(J169="",TODAY(),J169+60),""))))))))</f>
        <v/>
      </c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3" t="str">
        <f aca="false">IF(OR(E170="",E170="A completar",E170="Ainda não sabe"),"",IF(OR(E170="Limpeza de pele",E170="Peeling de diamante",E170="Microagulhamento"),"Rosto","Corpo"))</f>
        <v/>
      </c>
      <c r="G170" s="12"/>
      <c r="H170" s="12"/>
      <c r="I170" s="12"/>
      <c r="J170" s="14"/>
      <c r="K170" s="12"/>
      <c r="L170" s="14"/>
      <c r="M170" s="14"/>
      <c r="N170" s="12"/>
      <c r="O170" s="12"/>
      <c r="P170" s="15" t="str">
        <f aca="false">IF(M170="","",EDATE(M170,6))</f>
        <v/>
      </c>
      <c r="Q170" s="15" t="str">
        <f aca="false">IF(W170="","",IF(WEEKDAY(W170)=1,W170+1,W170))</f>
        <v/>
      </c>
      <c r="R170" s="13" t="str">
        <f aca="true">IF(Q170="","",IF(AND(N(K170)&gt;=3,G170&lt;&gt;"Perdido"),"Mover para Perdido",IF(Q170&lt;TODAY(),"Atrasado",IF(Q170=TODAY(),"Hoje","No prazo"))))</f>
        <v/>
      </c>
      <c r="S170" s="12"/>
      <c r="T170" s="12"/>
      <c r="U170" s="12"/>
      <c r="V170" s="7"/>
      <c r="W170" s="15" t="str">
        <f aca="true">IF(G170="","",IF(OR(G170="Novo contato",G170="Em conversa"),IF(J170="",TODAY(),J170+1),IF(G170="Avaliação marcada",IF(L170="",TODAY(),L170-1),IF(G170="Proposta enviada",IF(J170="",TODAY(),J170+2),IF(G170="Fechou pacote",IF(J170="",TODAY(),J170+7),IF(G170="Em tratamento",IF(M170="",TODAY(),IF(TODAY()&lt;=M170+1,M170+1,EDATE(M170,6)-30)),IF(G170="Pós-venda",IF(J170="",TODAY(),J170+7),IF(G170="Perdido",IF(J170="",TODAY(),J170+60),""))))))))</f>
        <v/>
      </c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3" t="str">
        <f aca="false">IF(OR(E171="",E171="A completar",E171="Ainda não sabe"),"",IF(OR(E171="Limpeza de pele",E171="Peeling de diamante",E171="Microagulhamento"),"Rosto","Corpo"))</f>
        <v/>
      </c>
      <c r="G171" s="12"/>
      <c r="H171" s="12"/>
      <c r="I171" s="12"/>
      <c r="J171" s="14"/>
      <c r="K171" s="12"/>
      <c r="L171" s="14"/>
      <c r="M171" s="14"/>
      <c r="N171" s="12"/>
      <c r="O171" s="12"/>
      <c r="P171" s="15" t="str">
        <f aca="false">IF(M171="","",EDATE(M171,6))</f>
        <v/>
      </c>
      <c r="Q171" s="15" t="str">
        <f aca="false">IF(W171="","",IF(WEEKDAY(W171)=1,W171+1,W171))</f>
        <v/>
      </c>
      <c r="R171" s="13" t="str">
        <f aca="true">IF(Q171="","",IF(AND(N(K171)&gt;=3,G171&lt;&gt;"Perdido"),"Mover para Perdido",IF(Q171&lt;TODAY(),"Atrasado",IF(Q171=TODAY(),"Hoje","No prazo"))))</f>
        <v/>
      </c>
      <c r="S171" s="12"/>
      <c r="T171" s="12"/>
      <c r="U171" s="12"/>
      <c r="V171" s="7"/>
      <c r="W171" s="15" t="str">
        <f aca="true">IF(G171="","",IF(OR(G171="Novo contato",G171="Em conversa"),IF(J171="",TODAY(),J171+1),IF(G171="Avaliação marcada",IF(L171="",TODAY(),L171-1),IF(G171="Proposta enviada",IF(J171="",TODAY(),J171+2),IF(G171="Fechou pacote",IF(J171="",TODAY(),J171+7),IF(G171="Em tratamento",IF(M171="",TODAY(),IF(TODAY()&lt;=M171+1,M171+1,EDATE(M171,6)-30)),IF(G171="Pós-venda",IF(J171="",TODAY(),J171+7),IF(G171="Perdido",IF(J171="",TODAY(),J171+60),""))))))))</f>
        <v/>
      </c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3" t="str">
        <f aca="false">IF(OR(E172="",E172="A completar",E172="Ainda não sabe"),"",IF(OR(E172="Limpeza de pele",E172="Peeling de diamante",E172="Microagulhamento"),"Rosto","Corpo"))</f>
        <v/>
      </c>
      <c r="G172" s="12"/>
      <c r="H172" s="12"/>
      <c r="I172" s="12"/>
      <c r="J172" s="14"/>
      <c r="K172" s="12"/>
      <c r="L172" s="14"/>
      <c r="M172" s="14"/>
      <c r="N172" s="12"/>
      <c r="O172" s="12"/>
      <c r="P172" s="15" t="str">
        <f aca="false">IF(M172="","",EDATE(M172,6))</f>
        <v/>
      </c>
      <c r="Q172" s="15" t="str">
        <f aca="false">IF(W172="","",IF(WEEKDAY(W172)=1,W172+1,W172))</f>
        <v/>
      </c>
      <c r="R172" s="13" t="str">
        <f aca="true">IF(Q172="","",IF(AND(N(K172)&gt;=3,G172&lt;&gt;"Perdido"),"Mover para Perdido",IF(Q172&lt;TODAY(),"Atrasado",IF(Q172=TODAY(),"Hoje","No prazo"))))</f>
        <v/>
      </c>
      <c r="S172" s="12"/>
      <c r="T172" s="12"/>
      <c r="U172" s="12"/>
      <c r="V172" s="7"/>
      <c r="W172" s="15" t="str">
        <f aca="true">IF(G172="","",IF(OR(G172="Novo contato",G172="Em conversa"),IF(J172="",TODAY(),J172+1),IF(G172="Avaliação marcada",IF(L172="",TODAY(),L172-1),IF(G172="Proposta enviada",IF(J172="",TODAY(),J172+2),IF(G172="Fechou pacote",IF(J172="",TODAY(),J172+7),IF(G172="Em tratamento",IF(M172="",TODAY(),IF(TODAY()&lt;=M172+1,M172+1,EDATE(M172,6)-30)),IF(G172="Pós-venda",IF(J172="",TODAY(),J172+7),IF(G172="Perdido",IF(J172="",TODAY(),J172+60),""))))))))</f>
        <v/>
      </c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3" t="str">
        <f aca="false">IF(OR(E173="",E173="A completar",E173="Ainda não sabe"),"",IF(OR(E173="Limpeza de pele",E173="Peeling de diamante",E173="Microagulhamento"),"Rosto","Corpo"))</f>
        <v/>
      </c>
      <c r="G173" s="12"/>
      <c r="H173" s="12"/>
      <c r="I173" s="12"/>
      <c r="J173" s="14"/>
      <c r="K173" s="12"/>
      <c r="L173" s="14"/>
      <c r="M173" s="14"/>
      <c r="N173" s="12"/>
      <c r="O173" s="12"/>
      <c r="P173" s="15" t="str">
        <f aca="false">IF(M173="","",EDATE(M173,6))</f>
        <v/>
      </c>
      <c r="Q173" s="15" t="str">
        <f aca="false">IF(W173="","",IF(WEEKDAY(W173)=1,W173+1,W173))</f>
        <v/>
      </c>
      <c r="R173" s="13" t="str">
        <f aca="true">IF(Q173="","",IF(AND(N(K173)&gt;=3,G173&lt;&gt;"Perdido"),"Mover para Perdido",IF(Q173&lt;TODAY(),"Atrasado",IF(Q173=TODAY(),"Hoje","No prazo"))))</f>
        <v/>
      </c>
      <c r="S173" s="12"/>
      <c r="T173" s="12"/>
      <c r="U173" s="12"/>
      <c r="V173" s="7"/>
      <c r="W173" s="15" t="str">
        <f aca="true">IF(G173="","",IF(OR(G173="Novo contato",G173="Em conversa"),IF(J173="",TODAY(),J173+1),IF(G173="Avaliação marcada",IF(L173="",TODAY(),L173-1),IF(G173="Proposta enviada",IF(J173="",TODAY(),J173+2),IF(G173="Fechou pacote",IF(J173="",TODAY(),J173+7),IF(G173="Em tratamento",IF(M173="",TODAY(),IF(TODAY()&lt;=M173+1,M173+1,EDATE(M173,6)-30)),IF(G173="Pós-venda",IF(J173="",TODAY(),J173+7),IF(G173="Perdido",IF(J173="",TODAY(),J173+60),""))))))))</f>
        <v/>
      </c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3" t="str">
        <f aca="false">IF(OR(E174="",E174="A completar",E174="Ainda não sabe"),"",IF(OR(E174="Limpeza de pele",E174="Peeling de diamante",E174="Microagulhamento"),"Rosto","Corpo"))</f>
        <v/>
      </c>
      <c r="G174" s="12"/>
      <c r="H174" s="12"/>
      <c r="I174" s="12"/>
      <c r="J174" s="14"/>
      <c r="K174" s="12"/>
      <c r="L174" s="14"/>
      <c r="M174" s="14"/>
      <c r="N174" s="12"/>
      <c r="O174" s="12"/>
      <c r="P174" s="15" t="str">
        <f aca="false">IF(M174="","",EDATE(M174,6))</f>
        <v/>
      </c>
      <c r="Q174" s="15" t="str">
        <f aca="false">IF(W174="","",IF(WEEKDAY(W174)=1,W174+1,W174))</f>
        <v/>
      </c>
      <c r="R174" s="13" t="str">
        <f aca="true">IF(Q174="","",IF(AND(N(K174)&gt;=3,G174&lt;&gt;"Perdido"),"Mover para Perdido",IF(Q174&lt;TODAY(),"Atrasado",IF(Q174=TODAY(),"Hoje","No prazo"))))</f>
        <v/>
      </c>
      <c r="S174" s="12"/>
      <c r="T174" s="12"/>
      <c r="U174" s="12"/>
      <c r="V174" s="7"/>
      <c r="W174" s="15" t="str">
        <f aca="true">IF(G174="","",IF(OR(G174="Novo contato",G174="Em conversa"),IF(J174="",TODAY(),J174+1),IF(G174="Avaliação marcada",IF(L174="",TODAY(),L174-1),IF(G174="Proposta enviada",IF(J174="",TODAY(),J174+2),IF(G174="Fechou pacote",IF(J174="",TODAY(),J174+7),IF(G174="Em tratamento",IF(M174="",TODAY(),IF(TODAY()&lt;=M174+1,M174+1,EDATE(M174,6)-30)),IF(G174="Pós-venda",IF(J174="",TODAY(),J174+7),IF(G174="Perdido",IF(J174="",TODAY(),J174+60),""))))))))</f>
        <v/>
      </c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3" t="str">
        <f aca="false">IF(OR(E175="",E175="A completar",E175="Ainda não sabe"),"",IF(OR(E175="Limpeza de pele",E175="Peeling de diamante",E175="Microagulhamento"),"Rosto","Corpo"))</f>
        <v/>
      </c>
      <c r="G175" s="12"/>
      <c r="H175" s="12"/>
      <c r="I175" s="12"/>
      <c r="J175" s="14"/>
      <c r="K175" s="12"/>
      <c r="L175" s="14"/>
      <c r="M175" s="14"/>
      <c r="N175" s="12"/>
      <c r="O175" s="12"/>
      <c r="P175" s="15" t="str">
        <f aca="false">IF(M175="","",EDATE(M175,6))</f>
        <v/>
      </c>
      <c r="Q175" s="15" t="str">
        <f aca="false">IF(W175="","",IF(WEEKDAY(W175)=1,W175+1,W175))</f>
        <v/>
      </c>
      <c r="R175" s="13" t="str">
        <f aca="true">IF(Q175="","",IF(AND(N(K175)&gt;=3,G175&lt;&gt;"Perdido"),"Mover para Perdido",IF(Q175&lt;TODAY(),"Atrasado",IF(Q175=TODAY(),"Hoje","No prazo"))))</f>
        <v/>
      </c>
      <c r="S175" s="12"/>
      <c r="T175" s="12"/>
      <c r="U175" s="12"/>
      <c r="V175" s="7"/>
      <c r="W175" s="15" t="str">
        <f aca="true">IF(G175="","",IF(OR(G175="Novo contato",G175="Em conversa"),IF(J175="",TODAY(),J175+1),IF(G175="Avaliação marcada",IF(L175="",TODAY(),L175-1),IF(G175="Proposta enviada",IF(J175="",TODAY(),J175+2),IF(G175="Fechou pacote",IF(J175="",TODAY(),J175+7),IF(G175="Em tratamento",IF(M175="",TODAY(),IF(TODAY()&lt;=M175+1,M175+1,EDATE(M175,6)-30)),IF(G175="Pós-venda",IF(J175="",TODAY(),J175+7),IF(G175="Perdido",IF(J175="",TODAY(),J175+60),""))))))))</f>
        <v/>
      </c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3" t="str">
        <f aca="false">IF(OR(E176="",E176="A completar",E176="Ainda não sabe"),"",IF(OR(E176="Limpeza de pele",E176="Peeling de diamante",E176="Microagulhamento"),"Rosto","Corpo"))</f>
        <v/>
      </c>
      <c r="G176" s="12"/>
      <c r="H176" s="12"/>
      <c r="I176" s="12"/>
      <c r="J176" s="14"/>
      <c r="K176" s="12"/>
      <c r="L176" s="14"/>
      <c r="M176" s="14"/>
      <c r="N176" s="12"/>
      <c r="O176" s="12"/>
      <c r="P176" s="15" t="str">
        <f aca="false">IF(M176="","",EDATE(M176,6))</f>
        <v/>
      </c>
      <c r="Q176" s="15" t="str">
        <f aca="false">IF(W176="","",IF(WEEKDAY(W176)=1,W176+1,W176))</f>
        <v/>
      </c>
      <c r="R176" s="13" t="str">
        <f aca="true">IF(Q176="","",IF(AND(N(K176)&gt;=3,G176&lt;&gt;"Perdido"),"Mover para Perdido",IF(Q176&lt;TODAY(),"Atrasado",IF(Q176=TODAY(),"Hoje","No prazo"))))</f>
        <v/>
      </c>
      <c r="S176" s="12"/>
      <c r="T176" s="12"/>
      <c r="U176" s="12"/>
      <c r="V176" s="7"/>
      <c r="W176" s="15" t="str">
        <f aca="true">IF(G176="","",IF(OR(G176="Novo contato",G176="Em conversa"),IF(J176="",TODAY(),J176+1),IF(G176="Avaliação marcada",IF(L176="",TODAY(),L176-1),IF(G176="Proposta enviada",IF(J176="",TODAY(),J176+2),IF(G176="Fechou pacote",IF(J176="",TODAY(),J176+7),IF(G176="Em tratamento",IF(M176="",TODAY(),IF(TODAY()&lt;=M176+1,M176+1,EDATE(M176,6)-30)),IF(G176="Pós-venda",IF(J176="",TODAY(),J176+7),IF(G176="Perdido",IF(J176="",TODAY(),J176+60),""))))))))</f>
        <v/>
      </c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3" t="str">
        <f aca="false">IF(OR(E177="",E177="A completar",E177="Ainda não sabe"),"",IF(OR(E177="Limpeza de pele",E177="Peeling de diamante",E177="Microagulhamento"),"Rosto","Corpo"))</f>
        <v/>
      </c>
      <c r="G177" s="12"/>
      <c r="H177" s="12"/>
      <c r="I177" s="12"/>
      <c r="J177" s="14"/>
      <c r="K177" s="12"/>
      <c r="L177" s="14"/>
      <c r="M177" s="14"/>
      <c r="N177" s="12"/>
      <c r="O177" s="12"/>
      <c r="P177" s="15" t="str">
        <f aca="false">IF(M177="","",EDATE(M177,6))</f>
        <v/>
      </c>
      <c r="Q177" s="15" t="str">
        <f aca="false">IF(W177="","",IF(WEEKDAY(W177)=1,W177+1,W177))</f>
        <v/>
      </c>
      <c r="R177" s="13" t="str">
        <f aca="true">IF(Q177="","",IF(AND(N(K177)&gt;=3,G177&lt;&gt;"Perdido"),"Mover para Perdido",IF(Q177&lt;TODAY(),"Atrasado",IF(Q177=TODAY(),"Hoje","No prazo"))))</f>
        <v/>
      </c>
      <c r="S177" s="12"/>
      <c r="T177" s="12"/>
      <c r="U177" s="12"/>
      <c r="V177" s="7"/>
      <c r="W177" s="15" t="str">
        <f aca="true">IF(G177="","",IF(OR(G177="Novo contato",G177="Em conversa"),IF(J177="",TODAY(),J177+1),IF(G177="Avaliação marcada",IF(L177="",TODAY(),L177-1),IF(G177="Proposta enviada",IF(J177="",TODAY(),J177+2),IF(G177="Fechou pacote",IF(J177="",TODAY(),J177+7),IF(G177="Em tratamento",IF(M177="",TODAY(),IF(TODAY()&lt;=M177+1,M177+1,EDATE(M177,6)-30)),IF(G177="Pós-venda",IF(J177="",TODAY(),J177+7),IF(G177="Perdido",IF(J177="",TODAY(),J177+60),""))))))))</f>
        <v/>
      </c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3" t="str">
        <f aca="false">IF(OR(E178="",E178="A completar",E178="Ainda não sabe"),"",IF(OR(E178="Limpeza de pele",E178="Peeling de diamante",E178="Microagulhamento"),"Rosto","Corpo"))</f>
        <v/>
      </c>
      <c r="G178" s="12"/>
      <c r="H178" s="12"/>
      <c r="I178" s="12"/>
      <c r="J178" s="14"/>
      <c r="K178" s="12"/>
      <c r="L178" s="14"/>
      <c r="M178" s="14"/>
      <c r="N178" s="12"/>
      <c r="O178" s="12"/>
      <c r="P178" s="15" t="str">
        <f aca="false">IF(M178="","",EDATE(M178,6))</f>
        <v/>
      </c>
      <c r="Q178" s="15" t="str">
        <f aca="false">IF(W178="","",IF(WEEKDAY(W178)=1,W178+1,W178))</f>
        <v/>
      </c>
      <c r="R178" s="13" t="str">
        <f aca="true">IF(Q178="","",IF(AND(N(K178)&gt;=3,G178&lt;&gt;"Perdido"),"Mover para Perdido",IF(Q178&lt;TODAY(),"Atrasado",IF(Q178=TODAY(),"Hoje","No prazo"))))</f>
        <v/>
      </c>
      <c r="S178" s="12"/>
      <c r="T178" s="12"/>
      <c r="U178" s="12"/>
      <c r="V178" s="7"/>
      <c r="W178" s="15" t="str">
        <f aca="true">IF(G178="","",IF(OR(G178="Novo contato",G178="Em conversa"),IF(J178="",TODAY(),J178+1),IF(G178="Avaliação marcada",IF(L178="",TODAY(),L178-1),IF(G178="Proposta enviada",IF(J178="",TODAY(),J178+2),IF(G178="Fechou pacote",IF(J178="",TODAY(),J178+7),IF(G178="Em tratamento",IF(M178="",TODAY(),IF(TODAY()&lt;=M178+1,M178+1,EDATE(M178,6)-30)),IF(G178="Pós-venda",IF(J178="",TODAY(),J178+7),IF(G178="Perdido",IF(J178="",TODAY(),J178+60),""))))))))</f>
        <v/>
      </c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3" t="str">
        <f aca="false">IF(OR(E179="",E179="A completar",E179="Ainda não sabe"),"",IF(OR(E179="Limpeza de pele",E179="Peeling de diamante",E179="Microagulhamento"),"Rosto","Corpo"))</f>
        <v/>
      </c>
      <c r="G179" s="12"/>
      <c r="H179" s="12"/>
      <c r="I179" s="12"/>
      <c r="J179" s="14"/>
      <c r="K179" s="12"/>
      <c r="L179" s="14"/>
      <c r="M179" s="14"/>
      <c r="N179" s="12"/>
      <c r="O179" s="12"/>
      <c r="P179" s="15" t="str">
        <f aca="false">IF(M179="","",EDATE(M179,6))</f>
        <v/>
      </c>
      <c r="Q179" s="15" t="str">
        <f aca="false">IF(W179="","",IF(WEEKDAY(W179)=1,W179+1,W179))</f>
        <v/>
      </c>
      <c r="R179" s="13" t="str">
        <f aca="true">IF(Q179="","",IF(AND(N(K179)&gt;=3,G179&lt;&gt;"Perdido"),"Mover para Perdido",IF(Q179&lt;TODAY(),"Atrasado",IF(Q179=TODAY(),"Hoje","No prazo"))))</f>
        <v/>
      </c>
      <c r="S179" s="12"/>
      <c r="T179" s="12"/>
      <c r="U179" s="12"/>
      <c r="V179" s="7"/>
      <c r="W179" s="15" t="str">
        <f aca="true">IF(G179="","",IF(OR(G179="Novo contato",G179="Em conversa"),IF(J179="",TODAY(),J179+1),IF(G179="Avaliação marcada",IF(L179="",TODAY(),L179-1),IF(G179="Proposta enviada",IF(J179="",TODAY(),J179+2),IF(G179="Fechou pacote",IF(J179="",TODAY(),J179+7),IF(G179="Em tratamento",IF(M179="",TODAY(),IF(TODAY()&lt;=M179+1,M179+1,EDATE(M179,6)-30)),IF(G179="Pós-venda",IF(J179="",TODAY(),J179+7),IF(G179="Perdido",IF(J179="",TODAY(),J179+60),""))))))))</f>
        <v/>
      </c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3" t="str">
        <f aca="false">IF(OR(E180="",E180="A completar",E180="Ainda não sabe"),"",IF(OR(E180="Limpeza de pele",E180="Peeling de diamante",E180="Microagulhamento"),"Rosto","Corpo"))</f>
        <v/>
      </c>
      <c r="G180" s="12"/>
      <c r="H180" s="12"/>
      <c r="I180" s="12"/>
      <c r="J180" s="14"/>
      <c r="K180" s="12"/>
      <c r="L180" s="14"/>
      <c r="M180" s="14"/>
      <c r="N180" s="12"/>
      <c r="O180" s="12"/>
      <c r="P180" s="15" t="str">
        <f aca="false">IF(M180="","",EDATE(M180,6))</f>
        <v/>
      </c>
      <c r="Q180" s="15" t="str">
        <f aca="false">IF(W180="","",IF(WEEKDAY(W180)=1,W180+1,W180))</f>
        <v/>
      </c>
      <c r="R180" s="13" t="str">
        <f aca="true">IF(Q180="","",IF(AND(N(K180)&gt;=3,G180&lt;&gt;"Perdido"),"Mover para Perdido",IF(Q180&lt;TODAY(),"Atrasado",IF(Q180=TODAY(),"Hoje","No prazo"))))</f>
        <v/>
      </c>
      <c r="S180" s="12"/>
      <c r="T180" s="12"/>
      <c r="U180" s="12"/>
      <c r="V180" s="7"/>
      <c r="W180" s="15" t="str">
        <f aca="true">IF(G180="","",IF(OR(G180="Novo contato",G180="Em conversa"),IF(J180="",TODAY(),J180+1),IF(G180="Avaliação marcada",IF(L180="",TODAY(),L180-1),IF(G180="Proposta enviada",IF(J180="",TODAY(),J180+2),IF(G180="Fechou pacote",IF(J180="",TODAY(),J180+7),IF(G180="Em tratamento",IF(M180="",TODAY(),IF(TODAY()&lt;=M180+1,M180+1,EDATE(M180,6)-30)),IF(G180="Pós-venda",IF(J180="",TODAY(),J180+7),IF(G180="Perdido",IF(J180="",TODAY(),J180+60),""))))))))</f>
        <v/>
      </c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3" t="str">
        <f aca="false">IF(OR(E181="",E181="A completar",E181="Ainda não sabe"),"",IF(OR(E181="Limpeza de pele",E181="Peeling de diamante",E181="Microagulhamento"),"Rosto","Corpo"))</f>
        <v/>
      </c>
      <c r="G181" s="12"/>
      <c r="H181" s="12"/>
      <c r="I181" s="12"/>
      <c r="J181" s="14"/>
      <c r="K181" s="12"/>
      <c r="L181" s="14"/>
      <c r="M181" s="14"/>
      <c r="N181" s="12"/>
      <c r="O181" s="12"/>
      <c r="P181" s="15" t="str">
        <f aca="false">IF(M181="","",EDATE(M181,6))</f>
        <v/>
      </c>
      <c r="Q181" s="15" t="str">
        <f aca="false">IF(W181="","",IF(WEEKDAY(W181)=1,W181+1,W181))</f>
        <v/>
      </c>
      <c r="R181" s="13" t="str">
        <f aca="true">IF(Q181="","",IF(AND(N(K181)&gt;=3,G181&lt;&gt;"Perdido"),"Mover para Perdido",IF(Q181&lt;TODAY(),"Atrasado",IF(Q181=TODAY(),"Hoje","No prazo"))))</f>
        <v/>
      </c>
      <c r="S181" s="12"/>
      <c r="T181" s="12"/>
      <c r="U181" s="12"/>
      <c r="V181" s="7"/>
      <c r="W181" s="15" t="str">
        <f aca="true">IF(G181="","",IF(OR(G181="Novo contato",G181="Em conversa"),IF(J181="",TODAY(),J181+1),IF(G181="Avaliação marcada",IF(L181="",TODAY(),L181-1),IF(G181="Proposta enviada",IF(J181="",TODAY(),J181+2),IF(G181="Fechou pacote",IF(J181="",TODAY(),J181+7),IF(G181="Em tratamento",IF(M181="",TODAY(),IF(TODAY()&lt;=M181+1,M181+1,EDATE(M181,6)-30)),IF(G181="Pós-venda",IF(J181="",TODAY(),J181+7),IF(G181="Perdido",IF(J181="",TODAY(),J181+60),""))))))))</f>
        <v/>
      </c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3" t="str">
        <f aca="false">IF(OR(E182="",E182="A completar",E182="Ainda não sabe"),"",IF(OR(E182="Limpeza de pele",E182="Peeling de diamante",E182="Microagulhamento"),"Rosto","Corpo"))</f>
        <v/>
      </c>
      <c r="G182" s="12"/>
      <c r="H182" s="12"/>
      <c r="I182" s="12"/>
      <c r="J182" s="14"/>
      <c r="K182" s="12"/>
      <c r="L182" s="14"/>
      <c r="M182" s="14"/>
      <c r="N182" s="12"/>
      <c r="O182" s="12"/>
      <c r="P182" s="15" t="str">
        <f aca="false">IF(M182="","",EDATE(M182,6))</f>
        <v/>
      </c>
      <c r="Q182" s="15" t="str">
        <f aca="false">IF(W182="","",IF(WEEKDAY(W182)=1,W182+1,W182))</f>
        <v/>
      </c>
      <c r="R182" s="13" t="str">
        <f aca="true">IF(Q182="","",IF(AND(N(K182)&gt;=3,G182&lt;&gt;"Perdido"),"Mover para Perdido",IF(Q182&lt;TODAY(),"Atrasado",IF(Q182=TODAY(),"Hoje","No prazo"))))</f>
        <v/>
      </c>
      <c r="S182" s="12"/>
      <c r="T182" s="12"/>
      <c r="U182" s="12"/>
      <c r="V182" s="7"/>
      <c r="W182" s="15" t="str">
        <f aca="true">IF(G182="","",IF(OR(G182="Novo contato",G182="Em conversa"),IF(J182="",TODAY(),J182+1),IF(G182="Avaliação marcada",IF(L182="",TODAY(),L182-1),IF(G182="Proposta enviada",IF(J182="",TODAY(),J182+2),IF(G182="Fechou pacote",IF(J182="",TODAY(),J182+7),IF(G182="Em tratamento",IF(M182="",TODAY(),IF(TODAY()&lt;=M182+1,M182+1,EDATE(M182,6)-30)),IF(G182="Pós-venda",IF(J182="",TODAY(),J182+7),IF(G182="Perdido",IF(J182="",TODAY(),J182+60),""))))))))</f>
        <v/>
      </c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3" t="str">
        <f aca="false">IF(OR(E183="",E183="A completar",E183="Ainda não sabe"),"",IF(OR(E183="Limpeza de pele",E183="Peeling de diamante",E183="Microagulhamento"),"Rosto","Corpo"))</f>
        <v/>
      </c>
      <c r="G183" s="12"/>
      <c r="H183" s="12"/>
      <c r="I183" s="12"/>
      <c r="J183" s="14"/>
      <c r="K183" s="12"/>
      <c r="L183" s="14"/>
      <c r="M183" s="14"/>
      <c r="N183" s="12"/>
      <c r="O183" s="12"/>
      <c r="P183" s="15" t="str">
        <f aca="false">IF(M183="","",EDATE(M183,6))</f>
        <v/>
      </c>
      <c r="Q183" s="15" t="str">
        <f aca="false">IF(W183="","",IF(WEEKDAY(W183)=1,W183+1,W183))</f>
        <v/>
      </c>
      <c r="R183" s="13" t="str">
        <f aca="true">IF(Q183="","",IF(AND(N(K183)&gt;=3,G183&lt;&gt;"Perdido"),"Mover para Perdido",IF(Q183&lt;TODAY(),"Atrasado",IF(Q183=TODAY(),"Hoje","No prazo"))))</f>
        <v/>
      </c>
      <c r="S183" s="12"/>
      <c r="T183" s="12"/>
      <c r="U183" s="12"/>
      <c r="V183" s="7"/>
      <c r="W183" s="15" t="str">
        <f aca="true">IF(G183="","",IF(OR(G183="Novo contato",G183="Em conversa"),IF(J183="",TODAY(),J183+1),IF(G183="Avaliação marcada",IF(L183="",TODAY(),L183-1),IF(G183="Proposta enviada",IF(J183="",TODAY(),J183+2),IF(G183="Fechou pacote",IF(J183="",TODAY(),J183+7),IF(G183="Em tratamento",IF(M183="",TODAY(),IF(TODAY()&lt;=M183+1,M183+1,EDATE(M183,6)-30)),IF(G183="Pós-venda",IF(J183="",TODAY(),J183+7),IF(G183="Perdido",IF(J183="",TODAY(),J183+60),""))))))))</f>
        <v/>
      </c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3" t="str">
        <f aca="false">IF(OR(E184="",E184="A completar",E184="Ainda não sabe"),"",IF(OR(E184="Limpeza de pele",E184="Peeling de diamante",E184="Microagulhamento"),"Rosto","Corpo"))</f>
        <v/>
      </c>
      <c r="G184" s="12"/>
      <c r="H184" s="12"/>
      <c r="I184" s="12"/>
      <c r="J184" s="14"/>
      <c r="K184" s="12"/>
      <c r="L184" s="14"/>
      <c r="M184" s="14"/>
      <c r="N184" s="12"/>
      <c r="O184" s="12"/>
      <c r="P184" s="15" t="str">
        <f aca="false">IF(M184="","",EDATE(M184,6))</f>
        <v/>
      </c>
      <c r="Q184" s="15" t="str">
        <f aca="false">IF(W184="","",IF(WEEKDAY(W184)=1,W184+1,W184))</f>
        <v/>
      </c>
      <c r="R184" s="13" t="str">
        <f aca="true">IF(Q184="","",IF(AND(N(K184)&gt;=3,G184&lt;&gt;"Perdido"),"Mover para Perdido",IF(Q184&lt;TODAY(),"Atrasado",IF(Q184=TODAY(),"Hoje","No prazo"))))</f>
        <v/>
      </c>
      <c r="S184" s="12"/>
      <c r="T184" s="12"/>
      <c r="U184" s="12"/>
      <c r="V184" s="7"/>
      <c r="W184" s="15" t="str">
        <f aca="true">IF(G184="","",IF(OR(G184="Novo contato",G184="Em conversa"),IF(J184="",TODAY(),J184+1),IF(G184="Avaliação marcada",IF(L184="",TODAY(),L184-1),IF(G184="Proposta enviada",IF(J184="",TODAY(),J184+2),IF(G184="Fechou pacote",IF(J184="",TODAY(),J184+7),IF(G184="Em tratamento",IF(M184="",TODAY(),IF(TODAY()&lt;=M184+1,M184+1,EDATE(M184,6)-30)),IF(G184="Pós-venda",IF(J184="",TODAY(),J184+7),IF(G184="Perdido",IF(J184="",TODAY(),J184+60),""))))))))</f>
        <v/>
      </c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3" t="str">
        <f aca="false">IF(OR(E185="",E185="A completar",E185="Ainda não sabe"),"",IF(OR(E185="Limpeza de pele",E185="Peeling de diamante",E185="Microagulhamento"),"Rosto","Corpo"))</f>
        <v/>
      </c>
      <c r="G185" s="12"/>
      <c r="H185" s="12"/>
      <c r="I185" s="12"/>
      <c r="J185" s="14"/>
      <c r="K185" s="12"/>
      <c r="L185" s="14"/>
      <c r="M185" s="14"/>
      <c r="N185" s="12"/>
      <c r="O185" s="12"/>
      <c r="P185" s="15" t="str">
        <f aca="false">IF(M185="","",EDATE(M185,6))</f>
        <v/>
      </c>
      <c r="Q185" s="15" t="str">
        <f aca="false">IF(W185="","",IF(WEEKDAY(W185)=1,W185+1,W185))</f>
        <v/>
      </c>
      <c r="R185" s="13" t="str">
        <f aca="true">IF(Q185="","",IF(AND(N(K185)&gt;=3,G185&lt;&gt;"Perdido"),"Mover para Perdido",IF(Q185&lt;TODAY(),"Atrasado",IF(Q185=TODAY(),"Hoje","No prazo"))))</f>
        <v/>
      </c>
      <c r="S185" s="12"/>
      <c r="T185" s="12"/>
      <c r="U185" s="12"/>
      <c r="V185" s="7"/>
      <c r="W185" s="15" t="str">
        <f aca="true">IF(G185="","",IF(OR(G185="Novo contato",G185="Em conversa"),IF(J185="",TODAY(),J185+1),IF(G185="Avaliação marcada",IF(L185="",TODAY(),L185-1),IF(G185="Proposta enviada",IF(J185="",TODAY(),J185+2),IF(G185="Fechou pacote",IF(J185="",TODAY(),J185+7),IF(G185="Em tratamento",IF(M185="",TODAY(),IF(TODAY()&lt;=M185+1,M185+1,EDATE(M185,6)-30)),IF(G185="Pós-venda",IF(J185="",TODAY(),J185+7),IF(G185="Perdido",IF(J185="",TODAY(),J185+60),""))))))))</f>
        <v/>
      </c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3" t="str">
        <f aca="false">IF(OR(E186="",E186="A completar",E186="Ainda não sabe"),"",IF(OR(E186="Limpeza de pele",E186="Peeling de diamante",E186="Microagulhamento"),"Rosto","Corpo"))</f>
        <v/>
      </c>
      <c r="G186" s="12"/>
      <c r="H186" s="12"/>
      <c r="I186" s="12"/>
      <c r="J186" s="14"/>
      <c r="K186" s="12"/>
      <c r="L186" s="14"/>
      <c r="M186" s="14"/>
      <c r="N186" s="12"/>
      <c r="O186" s="12"/>
      <c r="P186" s="15" t="str">
        <f aca="false">IF(M186="","",EDATE(M186,6))</f>
        <v/>
      </c>
      <c r="Q186" s="15" t="str">
        <f aca="false">IF(W186="","",IF(WEEKDAY(W186)=1,W186+1,W186))</f>
        <v/>
      </c>
      <c r="R186" s="13" t="str">
        <f aca="true">IF(Q186="","",IF(AND(N(K186)&gt;=3,G186&lt;&gt;"Perdido"),"Mover para Perdido",IF(Q186&lt;TODAY(),"Atrasado",IF(Q186=TODAY(),"Hoje","No prazo"))))</f>
        <v/>
      </c>
      <c r="S186" s="12"/>
      <c r="T186" s="12"/>
      <c r="U186" s="12"/>
      <c r="V186" s="7"/>
      <c r="W186" s="15" t="str">
        <f aca="true">IF(G186="","",IF(OR(G186="Novo contato",G186="Em conversa"),IF(J186="",TODAY(),J186+1),IF(G186="Avaliação marcada",IF(L186="",TODAY(),L186-1),IF(G186="Proposta enviada",IF(J186="",TODAY(),J186+2),IF(G186="Fechou pacote",IF(J186="",TODAY(),J186+7),IF(G186="Em tratamento",IF(M186="",TODAY(),IF(TODAY()&lt;=M186+1,M186+1,EDATE(M186,6)-30)),IF(G186="Pós-venda",IF(J186="",TODAY(),J186+7),IF(G186="Perdido",IF(J186="",TODAY(),J186+60),""))))))))</f>
        <v/>
      </c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3" t="str">
        <f aca="false">IF(OR(E187="",E187="A completar",E187="Ainda não sabe"),"",IF(OR(E187="Limpeza de pele",E187="Peeling de diamante",E187="Microagulhamento"),"Rosto","Corpo"))</f>
        <v/>
      </c>
      <c r="G187" s="12"/>
      <c r="H187" s="12"/>
      <c r="I187" s="12"/>
      <c r="J187" s="14"/>
      <c r="K187" s="12"/>
      <c r="L187" s="14"/>
      <c r="M187" s="14"/>
      <c r="N187" s="12"/>
      <c r="O187" s="12"/>
      <c r="P187" s="15" t="str">
        <f aca="false">IF(M187="","",EDATE(M187,6))</f>
        <v/>
      </c>
      <c r="Q187" s="15" t="str">
        <f aca="false">IF(W187="","",IF(WEEKDAY(W187)=1,W187+1,W187))</f>
        <v/>
      </c>
      <c r="R187" s="13" t="str">
        <f aca="true">IF(Q187="","",IF(AND(N(K187)&gt;=3,G187&lt;&gt;"Perdido"),"Mover para Perdido",IF(Q187&lt;TODAY(),"Atrasado",IF(Q187=TODAY(),"Hoje","No prazo"))))</f>
        <v/>
      </c>
      <c r="S187" s="12"/>
      <c r="T187" s="12"/>
      <c r="U187" s="12"/>
      <c r="V187" s="7"/>
      <c r="W187" s="15" t="str">
        <f aca="true">IF(G187="","",IF(OR(G187="Novo contato",G187="Em conversa"),IF(J187="",TODAY(),J187+1),IF(G187="Avaliação marcada",IF(L187="",TODAY(),L187-1),IF(G187="Proposta enviada",IF(J187="",TODAY(),J187+2),IF(G187="Fechou pacote",IF(J187="",TODAY(),J187+7),IF(G187="Em tratamento",IF(M187="",TODAY(),IF(TODAY()&lt;=M187+1,M187+1,EDATE(M187,6)-30)),IF(G187="Pós-venda",IF(J187="",TODAY(),J187+7),IF(G187="Perdido",IF(J187="",TODAY(),J187+60),""))))))))</f>
        <v/>
      </c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3" t="str">
        <f aca="false">IF(OR(E188="",E188="A completar",E188="Ainda não sabe"),"",IF(OR(E188="Limpeza de pele",E188="Peeling de diamante",E188="Microagulhamento"),"Rosto","Corpo"))</f>
        <v/>
      </c>
      <c r="G188" s="12"/>
      <c r="H188" s="12"/>
      <c r="I188" s="12"/>
      <c r="J188" s="14"/>
      <c r="K188" s="12"/>
      <c r="L188" s="14"/>
      <c r="M188" s="14"/>
      <c r="N188" s="12"/>
      <c r="O188" s="12"/>
      <c r="P188" s="15" t="str">
        <f aca="false">IF(M188="","",EDATE(M188,6))</f>
        <v/>
      </c>
      <c r="Q188" s="15" t="str">
        <f aca="false">IF(W188="","",IF(WEEKDAY(W188)=1,W188+1,W188))</f>
        <v/>
      </c>
      <c r="R188" s="13" t="str">
        <f aca="true">IF(Q188="","",IF(AND(N(K188)&gt;=3,G188&lt;&gt;"Perdido"),"Mover para Perdido",IF(Q188&lt;TODAY(),"Atrasado",IF(Q188=TODAY(),"Hoje","No prazo"))))</f>
        <v/>
      </c>
      <c r="S188" s="12"/>
      <c r="T188" s="12"/>
      <c r="U188" s="12"/>
      <c r="V188" s="7"/>
      <c r="W188" s="15" t="str">
        <f aca="true">IF(G188="","",IF(OR(G188="Novo contato",G188="Em conversa"),IF(J188="",TODAY(),J188+1),IF(G188="Avaliação marcada",IF(L188="",TODAY(),L188-1),IF(G188="Proposta enviada",IF(J188="",TODAY(),J188+2),IF(G188="Fechou pacote",IF(J188="",TODAY(),J188+7),IF(G188="Em tratamento",IF(M188="",TODAY(),IF(TODAY()&lt;=M188+1,M188+1,EDATE(M188,6)-30)),IF(G188="Pós-venda",IF(J188="",TODAY(),J188+7),IF(G188="Perdido",IF(J188="",TODAY(),J188+60),""))))))))</f>
        <v/>
      </c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3" t="str">
        <f aca="false">IF(OR(E189="",E189="A completar",E189="Ainda não sabe"),"",IF(OR(E189="Limpeza de pele",E189="Peeling de diamante",E189="Microagulhamento"),"Rosto","Corpo"))</f>
        <v/>
      </c>
      <c r="G189" s="12"/>
      <c r="H189" s="12"/>
      <c r="I189" s="12"/>
      <c r="J189" s="14"/>
      <c r="K189" s="12"/>
      <c r="L189" s="14"/>
      <c r="M189" s="14"/>
      <c r="N189" s="12"/>
      <c r="O189" s="12"/>
      <c r="P189" s="15" t="str">
        <f aca="false">IF(M189="","",EDATE(M189,6))</f>
        <v/>
      </c>
      <c r="Q189" s="15" t="str">
        <f aca="false">IF(W189="","",IF(WEEKDAY(W189)=1,W189+1,W189))</f>
        <v/>
      </c>
      <c r="R189" s="13" t="str">
        <f aca="true">IF(Q189="","",IF(AND(N(K189)&gt;=3,G189&lt;&gt;"Perdido"),"Mover para Perdido",IF(Q189&lt;TODAY(),"Atrasado",IF(Q189=TODAY(),"Hoje","No prazo"))))</f>
        <v/>
      </c>
      <c r="S189" s="12"/>
      <c r="T189" s="12"/>
      <c r="U189" s="12"/>
      <c r="V189" s="7"/>
      <c r="W189" s="15" t="str">
        <f aca="true">IF(G189="","",IF(OR(G189="Novo contato",G189="Em conversa"),IF(J189="",TODAY(),J189+1),IF(G189="Avaliação marcada",IF(L189="",TODAY(),L189-1),IF(G189="Proposta enviada",IF(J189="",TODAY(),J189+2),IF(G189="Fechou pacote",IF(J189="",TODAY(),J189+7),IF(G189="Em tratamento",IF(M189="",TODAY(),IF(TODAY()&lt;=M189+1,M189+1,EDATE(M189,6)-30)),IF(G189="Pós-venda",IF(J189="",TODAY(),J189+7),IF(G189="Perdido",IF(J189="",TODAY(),J189+60),""))))))))</f>
        <v/>
      </c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3" t="str">
        <f aca="false">IF(OR(E190="",E190="A completar",E190="Ainda não sabe"),"",IF(OR(E190="Limpeza de pele",E190="Peeling de diamante",E190="Microagulhamento"),"Rosto","Corpo"))</f>
        <v/>
      </c>
      <c r="G190" s="12"/>
      <c r="H190" s="12"/>
      <c r="I190" s="12"/>
      <c r="J190" s="14"/>
      <c r="K190" s="12"/>
      <c r="L190" s="14"/>
      <c r="M190" s="14"/>
      <c r="N190" s="12"/>
      <c r="O190" s="12"/>
      <c r="P190" s="15" t="str">
        <f aca="false">IF(M190="","",EDATE(M190,6))</f>
        <v/>
      </c>
      <c r="Q190" s="15" t="str">
        <f aca="false">IF(W190="","",IF(WEEKDAY(W190)=1,W190+1,W190))</f>
        <v/>
      </c>
      <c r="R190" s="13" t="str">
        <f aca="true">IF(Q190="","",IF(AND(N(K190)&gt;=3,G190&lt;&gt;"Perdido"),"Mover para Perdido",IF(Q190&lt;TODAY(),"Atrasado",IF(Q190=TODAY(),"Hoje","No prazo"))))</f>
        <v/>
      </c>
      <c r="S190" s="12"/>
      <c r="T190" s="12"/>
      <c r="U190" s="12"/>
      <c r="V190" s="7"/>
      <c r="W190" s="15" t="str">
        <f aca="true">IF(G190="","",IF(OR(G190="Novo contato",G190="Em conversa"),IF(J190="",TODAY(),J190+1),IF(G190="Avaliação marcada",IF(L190="",TODAY(),L190-1),IF(G190="Proposta enviada",IF(J190="",TODAY(),J190+2),IF(G190="Fechou pacote",IF(J190="",TODAY(),J190+7),IF(G190="Em tratamento",IF(M190="",TODAY(),IF(TODAY()&lt;=M190+1,M190+1,EDATE(M190,6)-30)),IF(G190="Pós-venda",IF(J190="",TODAY(),J190+7),IF(G190="Perdido",IF(J190="",TODAY(),J190+60),""))))))))</f>
        <v/>
      </c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3" t="str">
        <f aca="false">IF(OR(E191="",E191="A completar",E191="Ainda não sabe"),"",IF(OR(E191="Limpeza de pele",E191="Peeling de diamante",E191="Microagulhamento"),"Rosto","Corpo"))</f>
        <v/>
      </c>
      <c r="G191" s="12"/>
      <c r="H191" s="12"/>
      <c r="I191" s="12"/>
      <c r="J191" s="14"/>
      <c r="K191" s="12"/>
      <c r="L191" s="14"/>
      <c r="M191" s="14"/>
      <c r="N191" s="12"/>
      <c r="O191" s="12"/>
      <c r="P191" s="15" t="str">
        <f aca="false">IF(M191="","",EDATE(M191,6))</f>
        <v/>
      </c>
      <c r="Q191" s="15" t="str">
        <f aca="false">IF(W191="","",IF(WEEKDAY(W191)=1,W191+1,W191))</f>
        <v/>
      </c>
      <c r="R191" s="13" t="str">
        <f aca="true">IF(Q191="","",IF(AND(N(K191)&gt;=3,G191&lt;&gt;"Perdido"),"Mover para Perdido",IF(Q191&lt;TODAY(),"Atrasado",IF(Q191=TODAY(),"Hoje","No prazo"))))</f>
        <v/>
      </c>
      <c r="S191" s="12"/>
      <c r="T191" s="12"/>
      <c r="U191" s="12"/>
      <c r="V191" s="7"/>
      <c r="W191" s="15" t="str">
        <f aca="true">IF(G191="","",IF(OR(G191="Novo contato",G191="Em conversa"),IF(J191="",TODAY(),J191+1),IF(G191="Avaliação marcada",IF(L191="",TODAY(),L191-1),IF(G191="Proposta enviada",IF(J191="",TODAY(),J191+2),IF(G191="Fechou pacote",IF(J191="",TODAY(),J191+7),IF(G191="Em tratamento",IF(M191="",TODAY(),IF(TODAY()&lt;=M191+1,M191+1,EDATE(M191,6)-30)),IF(G191="Pós-venda",IF(J191="",TODAY(),J191+7),IF(G191="Perdido",IF(J191="",TODAY(),J191+60),""))))))))</f>
        <v/>
      </c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3" t="str">
        <f aca="false">IF(OR(E192="",E192="A completar",E192="Ainda não sabe"),"",IF(OR(E192="Limpeza de pele",E192="Peeling de diamante",E192="Microagulhamento"),"Rosto","Corpo"))</f>
        <v/>
      </c>
      <c r="G192" s="12"/>
      <c r="H192" s="12"/>
      <c r="I192" s="12"/>
      <c r="J192" s="14"/>
      <c r="K192" s="12"/>
      <c r="L192" s="14"/>
      <c r="M192" s="14"/>
      <c r="N192" s="12"/>
      <c r="O192" s="12"/>
      <c r="P192" s="15" t="str">
        <f aca="false">IF(M192="","",EDATE(M192,6))</f>
        <v/>
      </c>
      <c r="Q192" s="15" t="str">
        <f aca="false">IF(W192="","",IF(WEEKDAY(W192)=1,W192+1,W192))</f>
        <v/>
      </c>
      <c r="R192" s="13" t="str">
        <f aca="true">IF(Q192="","",IF(AND(N(K192)&gt;=3,G192&lt;&gt;"Perdido"),"Mover para Perdido",IF(Q192&lt;TODAY(),"Atrasado",IF(Q192=TODAY(),"Hoje","No prazo"))))</f>
        <v/>
      </c>
      <c r="S192" s="12"/>
      <c r="T192" s="12"/>
      <c r="U192" s="12"/>
      <c r="V192" s="7"/>
      <c r="W192" s="15" t="str">
        <f aca="true">IF(G192="","",IF(OR(G192="Novo contato",G192="Em conversa"),IF(J192="",TODAY(),J192+1),IF(G192="Avaliação marcada",IF(L192="",TODAY(),L192-1),IF(G192="Proposta enviada",IF(J192="",TODAY(),J192+2),IF(G192="Fechou pacote",IF(J192="",TODAY(),J192+7),IF(G192="Em tratamento",IF(M192="",TODAY(),IF(TODAY()&lt;=M192+1,M192+1,EDATE(M192,6)-30)),IF(G192="Pós-venda",IF(J192="",TODAY(),J192+7),IF(G192="Perdido",IF(J192="",TODAY(),J192+60),""))))))))</f>
        <v/>
      </c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3" t="str">
        <f aca="false">IF(OR(E193="",E193="A completar",E193="Ainda não sabe"),"",IF(OR(E193="Limpeza de pele",E193="Peeling de diamante",E193="Microagulhamento"),"Rosto","Corpo"))</f>
        <v/>
      </c>
      <c r="G193" s="12"/>
      <c r="H193" s="12"/>
      <c r="I193" s="12"/>
      <c r="J193" s="14"/>
      <c r="K193" s="12"/>
      <c r="L193" s="14"/>
      <c r="M193" s="14"/>
      <c r="N193" s="12"/>
      <c r="O193" s="12"/>
      <c r="P193" s="15" t="str">
        <f aca="false">IF(M193="","",EDATE(M193,6))</f>
        <v/>
      </c>
      <c r="Q193" s="15" t="str">
        <f aca="false">IF(W193="","",IF(WEEKDAY(W193)=1,W193+1,W193))</f>
        <v/>
      </c>
      <c r="R193" s="13" t="str">
        <f aca="true">IF(Q193="","",IF(AND(N(K193)&gt;=3,G193&lt;&gt;"Perdido"),"Mover para Perdido",IF(Q193&lt;TODAY(),"Atrasado",IF(Q193=TODAY(),"Hoje","No prazo"))))</f>
        <v/>
      </c>
      <c r="S193" s="12"/>
      <c r="T193" s="12"/>
      <c r="U193" s="12"/>
      <c r="V193" s="7"/>
      <c r="W193" s="15" t="str">
        <f aca="true">IF(G193="","",IF(OR(G193="Novo contato",G193="Em conversa"),IF(J193="",TODAY(),J193+1),IF(G193="Avaliação marcada",IF(L193="",TODAY(),L193-1),IF(G193="Proposta enviada",IF(J193="",TODAY(),J193+2),IF(G193="Fechou pacote",IF(J193="",TODAY(),J193+7),IF(G193="Em tratamento",IF(M193="",TODAY(),IF(TODAY()&lt;=M193+1,M193+1,EDATE(M193,6)-30)),IF(G193="Pós-venda",IF(J193="",TODAY(),J193+7),IF(G193="Perdido",IF(J193="",TODAY(),J193+60),""))))))))</f>
        <v/>
      </c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3" t="str">
        <f aca="false">IF(OR(E194="",E194="A completar",E194="Ainda não sabe"),"",IF(OR(E194="Limpeza de pele",E194="Peeling de diamante",E194="Microagulhamento"),"Rosto","Corpo"))</f>
        <v/>
      </c>
      <c r="G194" s="12"/>
      <c r="H194" s="12"/>
      <c r="I194" s="12"/>
      <c r="J194" s="14"/>
      <c r="K194" s="12"/>
      <c r="L194" s="14"/>
      <c r="M194" s="14"/>
      <c r="N194" s="12"/>
      <c r="O194" s="12"/>
      <c r="P194" s="15" t="str">
        <f aca="false">IF(M194="","",EDATE(M194,6))</f>
        <v/>
      </c>
      <c r="Q194" s="15" t="str">
        <f aca="false">IF(W194="","",IF(WEEKDAY(W194)=1,W194+1,W194))</f>
        <v/>
      </c>
      <c r="R194" s="13" t="str">
        <f aca="true">IF(Q194="","",IF(AND(N(K194)&gt;=3,G194&lt;&gt;"Perdido"),"Mover para Perdido",IF(Q194&lt;TODAY(),"Atrasado",IF(Q194=TODAY(),"Hoje","No prazo"))))</f>
        <v/>
      </c>
      <c r="S194" s="12"/>
      <c r="T194" s="12"/>
      <c r="U194" s="12"/>
      <c r="V194" s="7"/>
      <c r="W194" s="15" t="str">
        <f aca="true">IF(G194="","",IF(OR(G194="Novo contato",G194="Em conversa"),IF(J194="",TODAY(),J194+1),IF(G194="Avaliação marcada",IF(L194="",TODAY(),L194-1),IF(G194="Proposta enviada",IF(J194="",TODAY(),J194+2),IF(G194="Fechou pacote",IF(J194="",TODAY(),J194+7),IF(G194="Em tratamento",IF(M194="",TODAY(),IF(TODAY()&lt;=M194+1,M194+1,EDATE(M194,6)-30)),IF(G194="Pós-venda",IF(J194="",TODAY(),J194+7),IF(G194="Perdido",IF(J194="",TODAY(),J194+60),""))))))))</f>
        <v/>
      </c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3" t="str">
        <f aca="false">IF(OR(E195="",E195="A completar",E195="Ainda não sabe"),"",IF(OR(E195="Limpeza de pele",E195="Peeling de diamante",E195="Microagulhamento"),"Rosto","Corpo"))</f>
        <v/>
      </c>
      <c r="G195" s="12"/>
      <c r="H195" s="12"/>
      <c r="I195" s="12"/>
      <c r="J195" s="14"/>
      <c r="K195" s="12"/>
      <c r="L195" s="14"/>
      <c r="M195" s="14"/>
      <c r="N195" s="12"/>
      <c r="O195" s="12"/>
      <c r="P195" s="15" t="str">
        <f aca="false">IF(M195="","",EDATE(M195,6))</f>
        <v/>
      </c>
      <c r="Q195" s="15" t="str">
        <f aca="false">IF(W195="","",IF(WEEKDAY(W195)=1,W195+1,W195))</f>
        <v/>
      </c>
      <c r="R195" s="13" t="str">
        <f aca="true">IF(Q195="","",IF(AND(N(K195)&gt;=3,G195&lt;&gt;"Perdido"),"Mover para Perdido",IF(Q195&lt;TODAY(),"Atrasado",IF(Q195=TODAY(),"Hoje","No prazo"))))</f>
        <v/>
      </c>
      <c r="S195" s="12"/>
      <c r="T195" s="12"/>
      <c r="U195" s="12"/>
      <c r="V195" s="7"/>
      <c r="W195" s="15" t="str">
        <f aca="true">IF(G195="","",IF(OR(G195="Novo contato",G195="Em conversa"),IF(J195="",TODAY(),J195+1),IF(G195="Avaliação marcada",IF(L195="",TODAY(),L195-1),IF(G195="Proposta enviada",IF(J195="",TODAY(),J195+2),IF(G195="Fechou pacote",IF(J195="",TODAY(),J195+7),IF(G195="Em tratamento",IF(M195="",TODAY(),IF(TODAY()&lt;=M195+1,M195+1,EDATE(M195,6)-30)),IF(G195="Pós-venda",IF(J195="",TODAY(),J195+7),IF(G195="Perdido",IF(J195="",TODAY(),J195+60),""))))))))</f>
        <v/>
      </c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3" t="str">
        <f aca="false">IF(OR(E196="",E196="A completar",E196="Ainda não sabe"),"",IF(OR(E196="Limpeza de pele",E196="Peeling de diamante",E196="Microagulhamento"),"Rosto","Corpo"))</f>
        <v/>
      </c>
      <c r="G196" s="12"/>
      <c r="H196" s="12"/>
      <c r="I196" s="12"/>
      <c r="J196" s="14"/>
      <c r="K196" s="12"/>
      <c r="L196" s="14"/>
      <c r="M196" s="14"/>
      <c r="N196" s="12"/>
      <c r="O196" s="12"/>
      <c r="P196" s="15" t="str">
        <f aca="false">IF(M196="","",EDATE(M196,6))</f>
        <v/>
      </c>
      <c r="Q196" s="15" t="str">
        <f aca="false">IF(W196="","",IF(WEEKDAY(W196)=1,W196+1,W196))</f>
        <v/>
      </c>
      <c r="R196" s="13" t="str">
        <f aca="true">IF(Q196="","",IF(AND(N(K196)&gt;=3,G196&lt;&gt;"Perdido"),"Mover para Perdido",IF(Q196&lt;TODAY(),"Atrasado",IF(Q196=TODAY(),"Hoje","No prazo"))))</f>
        <v/>
      </c>
      <c r="S196" s="12"/>
      <c r="T196" s="12"/>
      <c r="U196" s="12"/>
      <c r="V196" s="7"/>
      <c r="W196" s="15" t="str">
        <f aca="true">IF(G196="","",IF(OR(G196="Novo contato",G196="Em conversa"),IF(J196="",TODAY(),J196+1),IF(G196="Avaliação marcada",IF(L196="",TODAY(),L196-1),IF(G196="Proposta enviada",IF(J196="",TODAY(),J196+2),IF(G196="Fechou pacote",IF(J196="",TODAY(),J196+7),IF(G196="Em tratamento",IF(M196="",TODAY(),IF(TODAY()&lt;=M196+1,M196+1,EDATE(M196,6)-30)),IF(G196="Pós-venda",IF(J196="",TODAY(),J196+7),IF(G196="Perdido",IF(J196="",TODAY(),J196+60),""))))))))</f>
        <v/>
      </c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3" t="str">
        <f aca="false">IF(OR(E197="",E197="A completar",E197="Ainda não sabe"),"",IF(OR(E197="Limpeza de pele",E197="Peeling de diamante",E197="Microagulhamento"),"Rosto","Corpo"))</f>
        <v/>
      </c>
      <c r="G197" s="12"/>
      <c r="H197" s="12"/>
      <c r="I197" s="12"/>
      <c r="J197" s="14"/>
      <c r="K197" s="12"/>
      <c r="L197" s="14"/>
      <c r="M197" s="14"/>
      <c r="N197" s="12"/>
      <c r="O197" s="12"/>
      <c r="P197" s="15" t="str">
        <f aca="false">IF(M197="","",EDATE(M197,6))</f>
        <v/>
      </c>
      <c r="Q197" s="15" t="str">
        <f aca="false">IF(W197="","",IF(WEEKDAY(W197)=1,W197+1,W197))</f>
        <v/>
      </c>
      <c r="R197" s="13" t="str">
        <f aca="true">IF(Q197="","",IF(AND(N(K197)&gt;=3,G197&lt;&gt;"Perdido"),"Mover para Perdido",IF(Q197&lt;TODAY(),"Atrasado",IF(Q197=TODAY(),"Hoje","No prazo"))))</f>
        <v/>
      </c>
      <c r="S197" s="12"/>
      <c r="T197" s="12"/>
      <c r="U197" s="12"/>
      <c r="V197" s="7"/>
      <c r="W197" s="15" t="str">
        <f aca="true">IF(G197="","",IF(OR(G197="Novo contato",G197="Em conversa"),IF(J197="",TODAY(),J197+1),IF(G197="Avaliação marcada",IF(L197="",TODAY(),L197-1),IF(G197="Proposta enviada",IF(J197="",TODAY(),J197+2),IF(G197="Fechou pacote",IF(J197="",TODAY(),J197+7),IF(G197="Em tratamento",IF(M197="",TODAY(),IF(TODAY()&lt;=M197+1,M197+1,EDATE(M197,6)-30)),IF(G197="Pós-venda",IF(J197="",TODAY(),J197+7),IF(G197="Perdido",IF(J197="",TODAY(),J197+60),""))))))))</f>
        <v/>
      </c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3" t="str">
        <f aca="false">IF(OR(E198="",E198="A completar",E198="Ainda não sabe"),"",IF(OR(E198="Limpeza de pele",E198="Peeling de diamante",E198="Microagulhamento"),"Rosto","Corpo"))</f>
        <v/>
      </c>
      <c r="G198" s="12"/>
      <c r="H198" s="12"/>
      <c r="I198" s="12"/>
      <c r="J198" s="14"/>
      <c r="K198" s="12"/>
      <c r="L198" s="14"/>
      <c r="M198" s="14"/>
      <c r="N198" s="12"/>
      <c r="O198" s="12"/>
      <c r="P198" s="15" t="str">
        <f aca="false">IF(M198="","",EDATE(M198,6))</f>
        <v/>
      </c>
      <c r="Q198" s="15" t="str">
        <f aca="false">IF(W198="","",IF(WEEKDAY(W198)=1,W198+1,W198))</f>
        <v/>
      </c>
      <c r="R198" s="13" t="str">
        <f aca="true">IF(Q198="","",IF(AND(N(K198)&gt;=3,G198&lt;&gt;"Perdido"),"Mover para Perdido",IF(Q198&lt;TODAY(),"Atrasado",IF(Q198=TODAY(),"Hoje","No prazo"))))</f>
        <v/>
      </c>
      <c r="S198" s="12"/>
      <c r="T198" s="12"/>
      <c r="U198" s="12"/>
      <c r="V198" s="7"/>
      <c r="W198" s="15" t="str">
        <f aca="true">IF(G198="","",IF(OR(G198="Novo contato",G198="Em conversa"),IF(J198="",TODAY(),J198+1),IF(G198="Avaliação marcada",IF(L198="",TODAY(),L198-1),IF(G198="Proposta enviada",IF(J198="",TODAY(),J198+2),IF(G198="Fechou pacote",IF(J198="",TODAY(),J198+7),IF(G198="Em tratamento",IF(M198="",TODAY(),IF(TODAY()&lt;=M198+1,M198+1,EDATE(M198,6)-30)),IF(G198="Pós-venda",IF(J198="",TODAY(),J198+7),IF(G198="Perdido",IF(J198="",TODAY(),J198+60),""))))))))</f>
        <v/>
      </c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3" t="str">
        <f aca="false">IF(OR(E199="",E199="A completar",E199="Ainda não sabe"),"",IF(OR(E199="Limpeza de pele",E199="Peeling de diamante",E199="Microagulhamento"),"Rosto","Corpo"))</f>
        <v/>
      </c>
      <c r="G199" s="12"/>
      <c r="H199" s="12"/>
      <c r="I199" s="12"/>
      <c r="J199" s="14"/>
      <c r="K199" s="12"/>
      <c r="L199" s="14"/>
      <c r="M199" s="14"/>
      <c r="N199" s="12"/>
      <c r="O199" s="12"/>
      <c r="P199" s="15" t="str">
        <f aca="false">IF(M199="","",EDATE(M199,6))</f>
        <v/>
      </c>
      <c r="Q199" s="15" t="str">
        <f aca="false">IF(W199="","",IF(WEEKDAY(W199)=1,W199+1,W199))</f>
        <v/>
      </c>
      <c r="R199" s="13" t="str">
        <f aca="true">IF(Q199="","",IF(AND(N(K199)&gt;=3,G199&lt;&gt;"Perdido"),"Mover para Perdido",IF(Q199&lt;TODAY(),"Atrasado",IF(Q199=TODAY(),"Hoje","No prazo"))))</f>
        <v/>
      </c>
      <c r="S199" s="12"/>
      <c r="T199" s="12"/>
      <c r="U199" s="12"/>
      <c r="V199" s="7"/>
      <c r="W199" s="15" t="str">
        <f aca="true">IF(G199="","",IF(OR(G199="Novo contato",G199="Em conversa"),IF(J199="",TODAY(),J199+1),IF(G199="Avaliação marcada",IF(L199="",TODAY(),L199-1),IF(G199="Proposta enviada",IF(J199="",TODAY(),J199+2),IF(G199="Fechou pacote",IF(J199="",TODAY(),J199+7),IF(G199="Em tratamento",IF(M199="",TODAY(),IF(TODAY()&lt;=M199+1,M199+1,EDATE(M199,6)-30)),IF(G199="Pós-venda",IF(J199="",TODAY(),J199+7),IF(G199="Perdido",IF(J199="",TODAY(),J199+60),""))))))))</f>
        <v/>
      </c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3" t="str">
        <f aca="false">IF(OR(E200="",E200="A completar",E200="Ainda não sabe"),"",IF(OR(E200="Limpeza de pele",E200="Peeling de diamante",E200="Microagulhamento"),"Rosto","Corpo"))</f>
        <v/>
      </c>
      <c r="G200" s="12"/>
      <c r="H200" s="12"/>
      <c r="I200" s="12"/>
      <c r="J200" s="14"/>
      <c r="K200" s="12"/>
      <c r="L200" s="14"/>
      <c r="M200" s="14"/>
      <c r="N200" s="12"/>
      <c r="O200" s="12"/>
      <c r="P200" s="15" t="str">
        <f aca="false">IF(M200="","",EDATE(M200,6))</f>
        <v/>
      </c>
      <c r="Q200" s="15" t="str">
        <f aca="false">IF(W200="","",IF(WEEKDAY(W200)=1,W200+1,W200))</f>
        <v/>
      </c>
      <c r="R200" s="13" t="str">
        <f aca="true">IF(Q200="","",IF(AND(N(K200)&gt;=3,G200&lt;&gt;"Perdido"),"Mover para Perdido",IF(Q200&lt;TODAY(),"Atrasado",IF(Q200=TODAY(),"Hoje","No prazo"))))</f>
        <v/>
      </c>
      <c r="S200" s="12"/>
      <c r="T200" s="12"/>
      <c r="U200" s="12"/>
      <c r="V200" s="7"/>
      <c r="W200" s="15" t="str">
        <f aca="true">IF(G200="","",IF(OR(G200="Novo contato",G200="Em conversa"),IF(J200="",TODAY(),J200+1),IF(G200="Avaliação marcada",IF(L200="",TODAY(),L200-1),IF(G200="Proposta enviada",IF(J200="",TODAY(),J200+2),IF(G200="Fechou pacote",IF(J200="",TODAY(),J200+7),IF(G200="Em tratamento",IF(M200="",TODAY(),IF(TODAY()&lt;=M200+1,M200+1,EDATE(M200,6)-30)),IF(G200="Pós-venda",IF(J200="",TODAY(),J200+7),IF(G200="Perdido",IF(J200="",TODAY(),J200+60),""))))))))</f>
        <v/>
      </c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3" t="str">
        <f aca="false">IF(OR(E201="",E201="A completar",E201="Ainda não sabe"),"",IF(OR(E201="Limpeza de pele",E201="Peeling de diamante",E201="Microagulhamento"),"Rosto","Corpo"))</f>
        <v/>
      </c>
      <c r="G201" s="12"/>
      <c r="H201" s="12"/>
      <c r="I201" s="12"/>
      <c r="J201" s="14"/>
      <c r="K201" s="12"/>
      <c r="L201" s="14"/>
      <c r="M201" s="14"/>
      <c r="N201" s="12"/>
      <c r="O201" s="12"/>
      <c r="P201" s="15" t="str">
        <f aca="false">IF(M201="","",EDATE(M201,6))</f>
        <v/>
      </c>
      <c r="Q201" s="15" t="str">
        <f aca="false">IF(W201="","",IF(WEEKDAY(W201)=1,W201+1,W201))</f>
        <v/>
      </c>
      <c r="R201" s="13" t="str">
        <f aca="true">IF(Q201="","",IF(AND(N(K201)&gt;=3,G201&lt;&gt;"Perdido"),"Mover para Perdido",IF(Q201&lt;TODAY(),"Atrasado",IF(Q201=TODAY(),"Hoje","No prazo"))))</f>
        <v/>
      </c>
      <c r="S201" s="12"/>
      <c r="T201" s="12"/>
      <c r="U201" s="12"/>
      <c r="V201" s="7"/>
      <c r="W201" s="15" t="str">
        <f aca="true">IF(G201="","",IF(OR(G201="Novo contato",G201="Em conversa"),IF(J201="",TODAY(),J201+1),IF(G201="Avaliação marcada",IF(L201="",TODAY(),L201-1),IF(G201="Proposta enviada",IF(J201="",TODAY(),J201+2),IF(G201="Fechou pacote",IF(J201="",TODAY(),J201+7),IF(G201="Em tratamento",IF(M201="",TODAY(),IF(TODAY()&lt;=M201+1,M201+1,EDATE(M201,6)-30)),IF(G201="Pós-venda",IF(J201="",TODAY(),J201+7),IF(G201="Perdido",IF(J201="",TODAY(),J201+60),""))))))))</f>
        <v/>
      </c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3" t="str">
        <f aca="false">IF(OR(E202="",E202="A completar",E202="Ainda não sabe"),"",IF(OR(E202="Limpeza de pele",E202="Peeling de diamante",E202="Microagulhamento"),"Rosto","Corpo"))</f>
        <v/>
      </c>
      <c r="G202" s="12"/>
      <c r="H202" s="12"/>
      <c r="I202" s="12"/>
      <c r="J202" s="14"/>
      <c r="K202" s="12"/>
      <c r="L202" s="14"/>
      <c r="M202" s="14"/>
      <c r="N202" s="12"/>
      <c r="O202" s="12"/>
      <c r="P202" s="15" t="str">
        <f aca="false">IF(M202="","",EDATE(M202,6))</f>
        <v/>
      </c>
      <c r="Q202" s="15" t="str">
        <f aca="false">IF(W202="","",IF(WEEKDAY(W202)=1,W202+1,W202))</f>
        <v/>
      </c>
      <c r="R202" s="13" t="str">
        <f aca="true">IF(Q202="","",IF(AND(N(K202)&gt;=3,G202&lt;&gt;"Perdido"),"Mover para Perdido",IF(Q202&lt;TODAY(),"Atrasado",IF(Q202=TODAY(),"Hoje","No prazo"))))</f>
        <v/>
      </c>
      <c r="S202" s="12"/>
      <c r="T202" s="12"/>
      <c r="U202" s="12"/>
      <c r="V202" s="7"/>
      <c r="W202" s="15" t="str">
        <f aca="true">IF(G202="","",IF(OR(G202="Novo contato",G202="Em conversa"),IF(J202="",TODAY(),J202+1),IF(G202="Avaliação marcada",IF(L202="",TODAY(),L202-1),IF(G202="Proposta enviada",IF(J202="",TODAY(),J202+2),IF(G202="Fechou pacote",IF(J202="",TODAY(),J202+7),IF(G202="Em tratamento",IF(M202="",TODAY(),IF(TODAY()&lt;=M202+1,M202+1,EDATE(M202,6)-30)),IF(G202="Pós-venda",IF(J202="",TODAY(),J202+7),IF(G202="Perdido",IF(J202="",TODAY(),J202+60),""))))))))</f>
        <v/>
      </c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3" t="str">
        <f aca="false">IF(OR(E203="",E203="A completar",E203="Ainda não sabe"),"",IF(OR(E203="Limpeza de pele",E203="Peeling de diamante",E203="Microagulhamento"),"Rosto","Corpo"))</f>
        <v/>
      </c>
      <c r="G203" s="12"/>
      <c r="H203" s="12"/>
      <c r="I203" s="12"/>
      <c r="J203" s="14"/>
      <c r="K203" s="12"/>
      <c r="L203" s="14"/>
      <c r="M203" s="14"/>
      <c r="N203" s="12"/>
      <c r="O203" s="12"/>
      <c r="P203" s="15" t="str">
        <f aca="false">IF(M203="","",EDATE(M203,6))</f>
        <v/>
      </c>
      <c r="Q203" s="15" t="str">
        <f aca="false">IF(W203="","",IF(WEEKDAY(W203)=1,W203+1,W203))</f>
        <v/>
      </c>
      <c r="R203" s="13" t="str">
        <f aca="true">IF(Q203="","",IF(AND(N(K203)&gt;=3,G203&lt;&gt;"Perdido"),"Mover para Perdido",IF(Q203&lt;TODAY(),"Atrasado",IF(Q203=TODAY(),"Hoje","No prazo"))))</f>
        <v/>
      </c>
      <c r="S203" s="12"/>
      <c r="T203" s="12"/>
      <c r="U203" s="12"/>
      <c r="V203" s="7"/>
      <c r="W203" s="15" t="str">
        <f aca="true">IF(G203="","",IF(OR(G203="Novo contato",G203="Em conversa"),IF(J203="",TODAY(),J203+1),IF(G203="Avaliação marcada",IF(L203="",TODAY(),L203-1),IF(G203="Proposta enviada",IF(J203="",TODAY(),J203+2),IF(G203="Fechou pacote",IF(J203="",TODAY(),J203+7),IF(G203="Em tratamento",IF(M203="",TODAY(),IF(TODAY()&lt;=M203+1,M203+1,EDATE(M203,6)-30)),IF(G203="Pós-venda",IF(J203="",TODAY(),J203+7),IF(G203="Perdido",IF(J203="",TODAY(),J203+60),""))))))))</f>
        <v/>
      </c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3" t="str">
        <f aca="false">IF(OR(E204="",E204="A completar",E204="Ainda não sabe"),"",IF(OR(E204="Limpeza de pele",E204="Peeling de diamante",E204="Microagulhamento"),"Rosto","Corpo"))</f>
        <v/>
      </c>
      <c r="G204" s="12"/>
      <c r="H204" s="12"/>
      <c r="I204" s="12"/>
      <c r="J204" s="14"/>
      <c r="K204" s="12"/>
      <c r="L204" s="14"/>
      <c r="M204" s="14"/>
      <c r="N204" s="12"/>
      <c r="O204" s="12"/>
      <c r="P204" s="15" t="str">
        <f aca="false">IF(M204="","",EDATE(M204,6))</f>
        <v/>
      </c>
      <c r="Q204" s="15" t="str">
        <f aca="false">IF(W204="","",IF(WEEKDAY(W204)=1,W204+1,W204))</f>
        <v/>
      </c>
      <c r="R204" s="13" t="str">
        <f aca="true">IF(Q204="","",IF(AND(N(K204)&gt;=3,G204&lt;&gt;"Perdido"),"Mover para Perdido",IF(Q204&lt;TODAY(),"Atrasado",IF(Q204=TODAY(),"Hoje","No prazo"))))</f>
        <v/>
      </c>
      <c r="S204" s="12"/>
      <c r="T204" s="12"/>
      <c r="U204" s="12"/>
      <c r="V204" s="7"/>
      <c r="W204" s="15" t="str">
        <f aca="true">IF(G204="","",IF(OR(G204="Novo contato",G204="Em conversa"),IF(J204="",TODAY(),J204+1),IF(G204="Avaliação marcada",IF(L204="",TODAY(),L204-1),IF(G204="Proposta enviada",IF(J204="",TODAY(),J204+2),IF(G204="Fechou pacote",IF(J204="",TODAY(),J204+7),IF(G204="Em tratamento",IF(M204="",TODAY(),IF(TODAY()&lt;=M204+1,M204+1,EDATE(M204,6)-30)),IF(G204="Pós-venda",IF(J204="",TODAY(),J204+7),IF(G204="Perdido",IF(J204="",TODAY(),J204+60),""))))))))</f>
        <v/>
      </c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3" t="str">
        <f aca="false">IF(OR(E205="",E205="A completar",E205="Ainda não sabe"),"",IF(OR(E205="Limpeza de pele",E205="Peeling de diamante",E205="Microagulhamento"),"Rosto","Corpo"))</f>
        <v/>
      </c>
      <c r="G205" s="12"/>
      <c r="H205" s="12"/>
      <c r="I205" s="12"/>
      <c r="J205" s="14"/>
      <c r="K205" s="12"/>
      <c r="L205" s="14"/>
      <c r="M205" s="14"/>
      <c r="N205" s="12"/>
      <c r="O205" s="12"/>
      <c r="P205" s="15" t="str">
        <f aca="false">IF(M205="","",EDATE(M205,6))</f>
        <v/>
      </c>
      <c r="Q205" s="15" t="str">
        <f aca="false">IF(W205="","",IF(WEEKDAY(W205)=1,W205+1,W205))</f>
        <v/>
      </c>
      <c r="R205" s="13" t="str">
        <f aca="true">IF(Q205="","",IF(AND(N(K205)&gt;=3,G205&lt;&gt;"Perdido"),"Mover para Perdido",IF(Q205&lt;TODAY(),"Atrasado",IF(Q205=TODAY(),"Hoje","No prazo"))))</f>
        <v/>
      </c>
      <c r="S205" s="12"/>
      <c r="T205" s="12"/>
      <c r="U205" s="12"/>
      <c r="V205" s="7"/>
      <c r="W205" s="15" t="str">
        <f aca="true">IF(G205="","",IF(OR(G205="Novo contato",G205="Em conversa"),IF(J205="",TODAY(),J205+1),IF(G205="Avaliação marcada",IF(L205="",TODAY(),L205-1),IF(G205="Proposta enviada",IF(J205="",TODAY(),J205+2),IF(G205="Fechou pacote",IF(J205="",TODAY(),J205+7),IF(G205="Em tratamento",IF(M205="",TODAY(),IF(TODAY()&lt;=M205+1,M205+1,EDATE(M205,6)-30)),IF(G205="Pós-venda",IF(J205="",TODAY(),J205+7),IF(G205="Perdido",IF(J205="",TODAY(),J205+60),""))))))))</f>
        <v/>
      </c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3" t="str">
        <f aca="false">IF(OR(E206="",E206="A completar",E206="Ainda não sabe"),"",IF(OR(E206="Limpeza de pele",E206="Peeling de diamante",E206="Microagulhamento"),"Rosto","Corpo"))</f>
        <v/>
      </c>
      <c r="G206" s="12"/>
      <c r="H206" s="12"/>
      <c r="I206" s="12"/>
      <c r="J206" s="14"/>
      <c r="K206" s="12"/>
      <c r="L206" s="14"/>
      <c r="M206" s="14"/>
      <c r="N206" s="12"/>
      <c r="O206" s="12"/>
      <c r="P206" s="15" t="str">
        <f aca="false">IF(M206="","",EDATE(M206,6))</f>
        <v/>
      </c>
      <c r="Q206" s="15" t="str">
        <f aca="false">IF(W206="","",IF(WEEKDAY(W206)=1,W206+1,W206))</f>
        <v/>
      </c>
      <c r="R206" s="13" t="str">
        <f aca="true">IF(Q206="","",IF(AND(N(K206)&gt;=3,G206&lt;&gt;"Perdido"),"Mover para Perdido",IF(Q206&lt;TODAY(),"Atrasado",IF(Q206=TODAY(),"Hoje","No prazo"))))</f>
        <v/>
      </c>
      <c r="S206" s="12"/>
      <c r="T206" s="12"/>
      <c r="U206" s="12"/>
      <c r="V206" s="7"/>
      <c r="W206" s="15" t="str">
        <f aca="true">IF(G206="","",IF(OR(G206="Novo contato",G206="Em conversa"),IF(J206="",TODAY(),J206+1),IF(G206="Avaliação marcada",IF(L206="",TODAY(),L206-1),IF(G206="Proposta enviada",IF(J206="",TODAY(),J206+2),IF(G206="Fechou pacote",IF(J206="",TODAY(),J206+7),IF(G206="Em tratamento",IF(M206="",TODAY(),IF(TODAY()&lt;=M206+1,M206+1,EDATE(M206,6)-30)),IF(G206="Pós-venda",IF(J206="",TODAY(),J206+7),IF(G206="Perdido",IF(J206="",TODAY(),J206+60),""))))))))</f>
        <v/>
      </c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3" t="str">
        <f aca="false">IF(OR(E207="",E207="A completar",E207="Ainda não sabe"),"",IF(OR(E207="Limpeza de pele",E207="Peeling de diamante",E207="Microagulhamento"),"Rosto","Corpo"))</f>
        <v/>
      </c>
      <c r="G207" s="12"/>
      <c r="H207" s="12"/>
      <c r="I207" s="12"/>
      <c r="J207" s="14"/>
      <c r="K207" s="12"/>
      <c r="L207" s="14"/>
      <c r="M207" s="14"/>
      <c r="N207" s="12"/>
      <c r="O207" s="12"/>
      <c r="P207" s="15" t="str">
        <f aca="false">IF(M207="","",EDATE(M207,6))</f>
        <v/>
      </c>
      <c r="Q207" s="15" t="str">
        <f aca="false">IF(W207="","",IF(WEEKDAY(W207)=1,W207+1,W207))</f>
        <v/>
      </c>
      <c r="R207" s="13" t="str">
        <f aca="true">IF(Q207="","",IF(AND(N(K207)&gt;=3,G207&lt;&gt;"Perdido"),"Mover para Perdido",IF(Q207&lt;TODAY(),"Atrasado",IF(Q207=TODAY(),"Hoje","No prazo"))))</f>
        <v/>
      </c>
      <c r="S207" s="12"/>
      <c r="T207" s="12"/>
      <c r="U207" s="12"/>
      <c r="V207" s="7"/>
      <c r="W207" s="15" t="str">
        <f aca="true">IF(G207="","",IF(OR(G207="Novo contato",G207="Em conversa"),IF(J207="",TODAY(),J207+1),IF(G207="Avaliação marcada",IF(L207="",TODAY(),L207-1),IF(G207="Proposta enviada",IF(J207="",TODAY(),J207+2),IF(G207="Fechou pacote",IF(J207="",TODAY(),J207+7),IF(G207="Em tratamento",IF(M207="",TODAY(),IF(TODAY()&lt;=M207+1,M207+1,EDATE(M207,6)-30)),IF(G207="Pós-venda",IF(J207="",TODAY(),J207+7),IF(G207="Perdido",IF(J207="",TODAY(),J207+60),""))))))))</f>
        <v/>
      </c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3" t="str">
        <f aca="false">IF(OR(E208="",E208="A completar",E208="Ainda não sabe"),"",IF(OR(E208="Limpeza de pele",E208="Peeling de diamante",E208="Microagulhamento"),"Rosto","Corpo"))</f>
        <v/>
      </c>
      <c r="G208" s="12"/>
      <c r="H208" s="12"/>
      <c r="I208" s="12"/>
      <c r="J208" s="14"/>
      <c r="K208" s="12"/>
      <c r="L208" s="14"/>
      <c r="M208" s="14"/>
      <c r="N208" s="12"/>
      <c r="O208" s="12"/>
      <c r="P208" s="15" t="str">
        <f aca="false">IF(M208="","",EDATE(M208,6))</f>
        <v/>
      </c>
      <c r="Q208" s="15" t="str">
        <f aca="false">IF(W208="","",IF(WEEKDAY(W208)=1,W208+1,W208))</f>
        <v/>
      </c>
      <c r="R208" s="13" t="str">
        <f aca="true">IF(Q208="","",IF(AND(N(K208)&gt;=3,G208&lt;&gt;"Perdido"),"Mover para Perdido",IF(Q208&lt;TODAY(),"Atrasado",IF(Q208=TODAY(),"Hoje","No prazo"))))</f>
        <v/>
      </c>
      <c r="S208" s="12"/>
      <c r="T208" s="12"/>
      <c r="U208" s="12"/>
      <c r="V208" s="7"/>
      <c r="W208" s="15" t="str">
        <f aca="true">IF(G208="","",IF(OR(G208="Novo contato",G208="Em conversa"),IF(J208="",TODAY(),J208+1),IF(G208="Avaliação marcada",IF(L208="",TODAY(),L208-1),IF(G208="Proposta enviada",IF(J208="",TODAY(),J208+2),IF(G208="Fechou pacote",IF(J208="",TODAY(),J208+7),IF(G208="Em tratamento",IF(M208="",TODAY(),IF(TODAY()&lt;=M208+1,M208+1,EDATE(M208,6)-30)),IF(G208="Pós-venda",IF(J208="",TODAY(),J208+7),IF(G208="Perdido",IF(J208="",TODAY(),J208+60),""))))))))</f>
        <v/>
      </c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3" t="str">
        <f aca="false">IF(OR(E209="",E209="A completar",E209="Ainda não sabe"),"",IF(OR(E209="Limpeza de pele",E209="Peeling de diamante",E209="Microagulhamento"),"Rosto","Corpo"))</f>
        <v/>
      </c>
      <c r="G209" s="12"/>
      <c r="H209" s="12"/>
      <c r="I209" s="12"/>
      <c r="J209" s="14"/>
      <c r="K209" s="12"/>
      <c r="L209" s="14"/>
      <c r="M209" s="14"/>
      <c r="N209" s="12"/>
      <c r="O209" s="12"/>
      <c r="P209" s="15" t="str">
        <f aca="false">IF(M209="","",EDATE(M209,6))</f>
        <v/>
      </c>
      <c r="Q209" s="15" t="str">
        <f aca="false">IF(W209="","",IF(WEEKDAY(W209)=1,W209+1,W209))</f>
        <v/>
      </c>
      <c r="R209" s="13" t="str">
        <f aca="true">IF(Q209="","",IF(AND(N(K209)&gt;=3,G209&lt;&gt;"Perdido"),"Mover para Perdido",IF(Q209&lt;TODAY(),"Atrasado",IF(Q209=TODAY(),"Hoje","No prazo"))))</f>
        <v/>
      </c>
      <c r="S209" s="12"/>
      <c r="T209" s="12"/>
      <c r="U209" s="12"/>
      <c r="V209" s="7"/>
      <c r="W209" s="15" t="str">
        <f aca="true">IF(G209="","",IF(OR(G209="Novo contato",G209="Em conversa"),IF(J209="",TODAY(),J209+1),IF(G209="Avaliação marcada",IF(L209="",TODAY(),L209-1),IF(G209="Proposta enviada",IF(J209="",TODAY(),J209+2),IF(G209="Fechou pacote",IF(J209="",TODAY(),J209+7),IF(G209="Em tratamento",IF(M209="",TODAY(),IF(TODAY()&lt;=M209+1,M209+1,EDATE(M209,6)-30)),IF(G209="Pós-venda",IF(J209="",TODAY(),J209+7),IF(G209="Perdido",IF(J209="",TODAY(),J209+60),""))))))))</f>
        <v/>
      </c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3" t="str">
        <f aca="false">IF(OR(E210="",E210="A completar",E210="Ainda não sabe"),"",IF(OR(E210="Limpeza de pele",E210="Peeling de diamante",E210="Microagulhamento"),"Rosto","Corpo"))</f>
        <v/>
      </c>
      <c r="G210" s="12"/>
      <c r="H210" s="12"/>
      <c r="I210" s="12"/>
      <c r="J210" s="14"/>
      <c r="K210" s="12"/>
      <c r="L210" s="14"/>
      <c r="M210" s="14"/>
      <c r="N210" s="12"/>
      <c r="O210" s="12"/>
      <c r="P210" s="15" t="str">
        <f aca="false">IF(M210="","",EDATE(M210,6))</f>
        <v/>
      </c>
      <c r="Q210" s="15" t="str">
        <f aca="false">IF(W210="","",IF(WEEKDAY(W210)=1,W210+1,W210))</f>
        <v/>
      </c>
      <c r="R210" s="13" t="str">
        <f aca="true">IF(Q210="","",IF(AND(N(K210)&gt;=3,G210&lt;&gt;"Perdido"),"Mover para Perdido",IF(Q210&lt;TODAY(),"Atrasado",IF(Q210=TODAY(),"Hoje","No prazo"))))</f>
        <v/>
      </c>
      <c r="S210" s="12"/>
      <c r="T210" s="12"/>
      <c r="U210" s="12"/>
      <c r="V210" s="7"/>
      <c r="W210" s="15" t="str">
        <f aca="true">IF(G210="","",IF(OR(G210="Novo contato",G210="Em conversa"),IF(J210="",TODAY(),J210+1),IF(G210="Avaliação marcada",IF(L210="",TODAY(),L210-1),IF(G210="Proposta enviada",IF(J210="",TODAY(),J210+2),IF(G210="Fechou pacote",IF(J210="",TODAY(),J210+7),IF(G210="Em tratamento",IF(M210="",TODAY(),IF(TODAY()&lt;=M210+1,M210+1,EDATE(M210,6)-30)),IF(G210="Pós-venda",IF(J210="",TODAY(),J210+7),IF(G210="Perdido",IF(J210="",TODAY(),J210+60),""))))))))</f>
        <v/>
      </c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3" t="str">
        <f aca="false">IF(OR(E211="",E211="A completar",E211="Ainda não sabe"),"",IF(OR(E211="Limpeza de pele",E211="Peeling de diamante",E211="Microagulhamento"),"Rosto","Corpo"))</f>
        <v/>
      </c>
      <c r="G211" s="12"/>
      <c r="H211" s="12"/>
      <c r="I211" s="12"/>
      <c r="J211" s="14"/>
      <c r="K211" s="12"/>
      <c r="L211" s="14"/>
      <c r="M211" s="14"/>
      <c r="N211" s="12"/>
      <c r="O211" s="12"/>
      <c r="P211" s="15" t="str">
        <f aca="false">IF(M211="","",EDATE(M211,6))</f>
        <v/>
      </c>
      <c r="Q211" s="15" t="str">
        <f aca="false">IF(W211="","",IF(WEEKDAY(W211)=1,W211+1,W211))</f>
        <v/>
      </c>
      <c r="R211" s="13" t="str">
        <f aca="true">IF(Q211="","",IF(AND(N(K211)&gt;=3,G211&lt;&gt;"Perdido"),"Mover para Perdido",IF(Q211&lt;TODAY(),"Atrasado",IF(Q211=TODAY(),"Hoje","No prazo"))))</f>
        <v/>
      </c>
      <c r="S211" s="12"/>
      <c r="T211" s="12"/>
      <c r="U211" s="12"/>
      <c r="V211" s="7"/>
      <c r="W211" s="15" t="str">
        <f aca="true">IF(G211="","",IF(OR(G211="Novo contato",G211="Em conversa"),IF(J211="",TODAY(),J211+1),IF(G211="Avaliação marcada",IF(L211="",TODAY(),L211-1),IF(G211="Proposta enviada",IF(J211="",TODAY(),J211+2),IF(G211="Fechou pacote",IF(J211="",TODAY(),J211+7),IF(G211="Em tratamento",IF(M211="",TODAY(),IF(TODAY()&lt;=M211+1,M211+1,EDATE(M211,6)-30)),IF(G211="Pós-venda",IF(J211="",TODAY(),J211+7),IF(G211="Perdido",IF(J211="",TODAY(),J211+60),""))))))))</f>
        <v/>
      </c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3" t="str">
        <f aca="false">IF(OR(E212="",E212="A completar",E212="Ainda não sabe"),"",IF(OR(E212="Limpeza de pele",E212="Peeling de diamante",E212="Microagulhamento"),"Rosto","Corpo"))</f>
        <v/>
      </c>
      <c r="G212" s="12"/>
      <c r="H212" s="12"/>
      <c r="I212" s="12"/>
      <c r="J212" s="14"/>
      <c r="K212" s="12"/>
      <c r="L212" s="14"/>
      <c r="M212" s="14"/>
      <c r="N212" s="12"/>
      <c r="O212" s="12"/>
      <c r="P212" s="15" t="str">
        <f aca="false">IF(M212="","",EDATE(M212,6))</f>
        <v/>
      </c>
      <c r="Q212" s="15" t="str">
        <f aca="false">IF(W212="","",IF(WEEKDAY(W212)=1,W212+1,W212))</f>
        <v/>
      </c>
      <c r="R212" s="13" t="str">
        <f aca="true">IF(Q212="","",IF(AND(N(K212)&gt;=3,G212&lt;&gt;"Perdido"),"Mover para Perdido",IF(Q212&lt;TODAY(),"Atrasado",IF(Q212=TODAY(),"Hoje","No prazo"))))</f>
        <v/>
      </c>
      <c r="S212" s="12"/>
      <c r="T212" s="12"/>
      <c r="U212" s="12"/>
      <c r="V212" s="7"/>
      <c r="W212" s="15" t="str">
        <f aca="true">IF(G212="","",IF(OR(G212="Novo contato",G212="Em conversa"),IF(J212="",TODAY(),J212+1),IF(G212="Avaliação marcada",IF(L212="",TODAY(),L212-1),IF(G212="Proposta enviada",IF(J212="",TODAY(),J212+2),IF(G212="Fechou pacote",IF(J212="",TODAY(),J212+7),IF(G212="Em tratamento",IF(M212="",TODAY(),IF(TODAY()&lt;=M212+1,M212+1,EDATE(M212,6)-30)),IF(G212="Pós-venda",IF(J212="",TODAY(),J212+7),IF(G212="Perdido",IF(J212="",TODAY(),J212+60),""))))))))</f>
        <v/>
      </c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3" t="str">
        <f aca="false">IF(OR(E213="",E213="A completar",E213="Ainda não sabe"),"",IF(OR(E213="Limpeza de pele",E213="Peeling de diamante",E213="Microagulhamento"),"Rosto","Corpo"))</f>
        <v/>
      </c>
      <c r="G213" s="12"/>
      <c r="H213" s="12"/>
      <c r="I213" s="12"/>
      <c r="J213" s="14"/>
      <c r="K213" s="12"/>
      <c r="L213" s="14"/>
      <c r="M213" s="14"/>
      <c r="N213" s="12"/>
      <c r="O213" s="12"/>
      <c r="P213" s="15" t="str">
        <f aca="false">IF(M213="","",EDATE(M213,6))</f>
        <v/>
      </c>
      <c r="Q213" s="15" t="str">
        <f aca="false">IF(W213="","",IF(WEEKDAY(W213)=1,W213+1,W213))</f>
        <v/>
      </c>
      <c r="R213" s="13" t="str">
        <f aca="true">IF(Q213="","",IF(AND(N(K213)&gt;=3,G213&lt;&gt;"Perdido"),"Mover para Perdido",IF(Q213&lt;TODAY(),"Atrasado",IF(Q213=TODAY(),"Hoje","No prazo"))))</f>
        <v/>
      </c>
      <c r="S213" s="12"/>
      <c r="T213" s="12"/>
      <c r="U213" s="12"/>
      <c r="V213" s="7"/>
      <c r="W213" s="15" t="str">
        <f aca="true">IF(G213="","",IF(OR(G213="Novo contato",G213="Em conversa"),IF(J213="",TODAY(),J213+1),IF(G213="Avaliação marcada",IF(L213="",TODAY(),L213-1),IF(G213="Proposta enviada",IF(J213="",TODAY(),J213+2),IF(G213="Fechou pacote",IF(J213="",TODAY(),J213+7),IF(G213="Em tratamento",IF(M213="",TODAY(),IF(TODAY()&lt;=M213+1,M213+1,EDATE(M213,6)-30)),IF(G213="Pós-venda",IF(J213="",TODAY(),J213+7),IF(G213="Perdido",IF(J213="",TODAY(),J213+60),""))))))))</f>
        <v/>
      </c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3" t="str">
        <f aca="false">IF(OR(E214="",E214="A completar",E214="Ainda não sabe"),"",IF(OR(E214="Limpeza de pele",E214="Peeling de diamante",E214="Microagulhamento"),"Rosto","Corpo"))</f>
        <v/>
      </c>
      <c r="G214" s="12"/>
      <c r="H214" s="12"/>
      <c r="I214" s="12"/>
      <c r="J214" s="14"/>
      <c r="K214" s="12"/>
      <c r="L214" s="14"/>
      <c r="M214" s="14"/>
      <c r="N214" s="12"/>
      <c r="O214" s="12"/>
      <c r="P214" s="15" t="str">
        <f aca="false">IF(M214="","",EDATE(M214,6))</f>
        <v/>
      </c>
      <c r="Q214" s="15" t="str">
        <f aca="false">IF(W214="","",IF(WEEKDAY(W214)=1,W214+1,W214))</f>
        <v/>
      </c>
      <c r="R214" s="13" t="str">
        <f aca="true">IF(Q214="","",IF(AND(N(K214)&gt;=3,G214&lt;&gt;"Perdido"),"Mover para Perdido",IF(Q214&lt;TODAY(),"Atrasado",IF(Q214=TODAY(),"Hoje","No prazo"))))</f>
        <v/>
      </c>
      <c r="S214" s="12"/>
      <c r="T214" s="12"/>
      <c r="U214" s="12"/>
      <c r="V214" s="7"/>
      <c r="W214" s="15" t="str">
        <f aca="true">IF(G214="","",IF(OR(G214="Novo contato",G214="Em conversa"),IF(J214="",TODAY(),J214+1),IF(G214="Avaliação marcada",IF(L214="",TODAY(),L214-1),IF(G214="Proposta enviada",IF(J214="",TODAY(),J214+2),IF(G214="Fechou pacote",IF(J214="",TODAY(),J214+7),IF(G214="Em tratamento",IF(M214="",TODAY(),IF(TODAY()&lt;=M214+1,M214+1,EDATE(M214,6)-30)),IF(G214="Pós-venda",IF(J214="",TODAY(),J214+7),IF(G214="Perdido",IF(J214="",TODAY(),J214+60),""))))))))</f>
        <v/>
      </c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3" t="str">
        <f aca="false">IF(OR(E215="",E215="A completar",E215="Ainda não sabe"),"",IF(OR(E215="Limpeza de pele",E215="Peeling de diamante",E215="Microagulhamento"),"Rosto","Corpo"))</f>
        <v/>
      </c>
      <c r="G215" s="12"/>
      <c r="H215" s="12"/>
      <c r="I215" s="12"/>
      <c r="J215" s="14"/>
      <c r="K215" s="12"/>
      <c r="L215" s="14"/>
      <c r="M215" s="14"/>
      <c r="N215" s="12"/>
      <c r="O215" s="12"/>
      <c r="P215" s="15" t="str">
        <f aca="false">IF(M215="","",EDATE(M215,6))</f>
        <v/>
      </c>
      <c r="Q215" s="15" t="str">
        <f aca="false">IF(W215="","",IF(WEEKDAY(W215)=1,W215+1,W215))</f>
        <v/>
      </c>
      <c r="R215" s="13" t="str">
        <f aca="true">IF(Q215="","",IF(AND(N(K215)&gt;=3,G215&lt;&gt;"Perdido"),"Mover para Perdido",IF(Q215&lt;TODAY(),"Atrasado",IF(Q215=TODAY(),"Hoje","No prazo"))))</f>
        <v/>
      </c>
      <c r="S215" s="12"/>
      <c r="T215" s="12"/>
      <c r="U215" s="12"/>
      <c r="V215" s="7"/>
      <c r="W215" s="15" t="str">
        <f aca="true">IF(G215="","",IF(OR(G215="Novo contato",G215="Em conversa"),IF(J215="",TODAY(),J215+1),IF(G215="Avaliação marcada",IF(L215="",TODAY(),L215-1),IF(G215="Proposta enviada",IF(J215="",TODAY(),J215+2),IF(G215="Fechou pacote",IF(J215="",TODAY(),J215+7),IF(G215="Em tratamento",IF(M215="",TODAY(),IF(TODAY()&lt;=M215+1,M215+1,EDATE(M215,6)-30)),IF(G215="Pós-venda",IF(J215="",TODAY(),J215+7),IF(G215="Perdido",IF(J215="",TODAY(),J215+60),""))))))))</f>
        <v/>
      </c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3" t="str">
        <f aca="false">IF(OR(E216="",E216="A completar",E216="Ainda não sabe"),"",IF(OR(E216="Limpeza de pele",E216="Peeling de diamante",E216="Microagulhamento"),"Rosto","Corpo"))</f>
        <v/>
      </c>
      <c r="G216" s="12"/>
      <c r="H216" s="12"/>
      <c r="I216" s="12"/>
      <c r="J216" s="14"/>
      <c r="K216" s="12"/>
      <c r="L216" s="14"/>
      <c r="M216" s="14"/>
      <c r="N216" s="12"/>
      <c r="O216" s="12"/>
      <c r="P216" s="15" t="str">
        <f aca="false">IF(M216="","",EDATE(M216,6))</f>
        <v/>
      </c>
      <c r="Q216" s="15" t="str">
        <f aca="false">IF(W216="","",IF(WEEKDAY(W216)=1,W216+1,W216))</f>
        <v/>
      </c>
      <c r="R216" s="13" t="str">
        <f aca="true">IF(Q216="","",IF(AND(N(K216)&gt;=3,G216&lt;&gt;"Perdido"),"Mover para Perdido",IF(Q216&lt;TODAY(),"Atrasado",IF(Q216=TODAY(),"Hoje","No prazo"))))</f>
        <v/>
      </c>
      <c r="S216" s="12"/>
      <c r="T216" s="12"/>
      <c r="U216" s="12"/>
      <c r="V216" s="7"/>
      <c r="W216" s="15" t="str">
        <f aca="true">IF(G216="","",IF(OR(G216="Novo contato",G216="Em conversa"),IF(J216="",TODAY(),J216+1),IF(G216="Avaliação marcada",IF(L216="",TODAY(),L216-1),IF(G216="Proposta enviada",IF(J216="",TODAY(),J216+2),IF(G216="Fechou pacote",IF(J216="",TODAY(),J216+7),IF(G216="Em tratamento",IF(M216="",TODAY(),IF(TODAY()&lt;=M216+1,M216+1,EDATE(M216,6)-30)),IF(G216="Pós-venda",IF(J216="",TODAY(),J216+7),IF(G216="Perdido",IF(J216="",TODAY(),J216+60),""))))))))</f>
        <v/>
      </c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3" t="str">
        <f aca="false">IF(OR(E217="",E217="A completar",E217="Ainda não sabe"),"",IF(OR(E217="Limpeza de pele",E217="Peeling de diamante",E217="Microagulhamento"),"Rosto","Corpo"))</f>
        <v/>
      </c>
      <c r="G217" s="12"/>
      <c r="H217" s="12"/>
      <c r="I217" s="12"/>
      <c r="J217" s="14"/>
      <c r="K217" s="12"/>
      <c r="L217" s="14"/>
      <c r="M217" s="14"/>
      <c r="N217" s="12"/>
      <c r="O217" s="12"/>
      <c r="P217" s="15" t="str">
        <f aca="false">IF(M217="","",EDATE(M217,6))</f>
        <v/>
      </c>
      <c r="Q217" s="15" t="str">
        <f aca="false">IF(W217="","",IF(WEEKDAY(W217)=1,W217+1,W217))</f>
        <v/>
      </c>
      <c r="R217" s="13" t="str">
        <f aca="true">IF(Q217="","",IF(AND(N(K217)&gt;=3,G217&lt;&gt;"Perdido"),"Mover para Perdido",IF(Q217&lt;TODAY(),"Atrasado",IF(Q217=TODAY(),"Hoje","No prazo"))))</f>
        <v/>
      </c>
      <c r="S217" s="12"/>
      <c r="T217" s="12"/>
      <c r="U217" s="12"/>
      <c r="V217" s="7"/>
      <c r="W217" s="15" t="str">
        <f aca="true">IF(G217="","",IF(OR(G217="Novo contato",G217="Em conversa"),IF(J217="",TODAY(),J217+1),IF(G217="Avaliação marcada",IF(L217="",TODAY(),L217-1),IF(G217="Proposta enviada",IF(J217="",TODAY(),J217+2),IF(G217="Fechou pacote",IF(J217="",TODAY(),J217+7),IF(G217="Em tratamento",IF(M217="",TODAY(),IF(TODAY()&lt;=M217+1,M217+1,EDATE(M217,6)-30)),IF(G217="Pós-venda",IF(J217="",TODAY(),J217+7),IF(G217="Perdido",IF(J217="",TODAY(),J217+60),""))))))))</f>
        <v/>
      </c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3" t="str">
        <f aca="false">IF(OR(E218="",E218="A completar",E218="Ainda não sabe"),"",IF(OR(E218="Limpeza de pele",E218="Peeling de diamante",E218="Microagulhamento"),"Rosto","Corpo"))</f>
        <v/>
      </c>
      <c r="G218" s="12"/>
      <c r="H218" s="12"/>
      <c r="I218" s="12"/>
      <c r="J218" s="14"/>
      <c r="K218" s="12"/>
      <c r="L218" s="14"/>
      <c r="M218" s="14"/>
      <c r="N218" s="12"/>
      <c r="O218" s="12"/>
      <c r="P218" s="15" t="str">
        <f aca="false">IF(M218="","",EDATE(M218,6))</f>
        <v/>
      </c>
      <c r="Q218" s="15" t="str">
        <f aca="false">IF(W218="","",IF(WEEKDAY(W218)=1,W218+1,W218))</f>
        <v/>
      </c>
      <c r="R218" s="13" t="str">
        <f aca="true">IF(Q218="","",IF(AND(N(K218)&gt;=3,G218&lt;&gt;"Perdido"),"Mover para Perdido",IF(Q218&lt;TODAY(),"Atrasado",IF(Q218=TODAY(),"Hoje","No prazo"))))</f>
        <v/>
      </c>
      <c r="S218" s="12"/>
      <c r="T218" s="12"/>
      <c r="U218" s="12"/>
      <c r="V218" s="7"/>
      <c r="W218" s="15" t="str">
        <f aca="true">IF(G218="","",IF(OR(G218="Novo contato",G218="Em conversa"),IF(J218="",TODAY(),J218+1),IF(G218="Avaliação marcada",IF(L218="",TODAY(),L218-1),IF(G218="Proposta enviada",IF(J218="",TODAY(),J218+2),IF(G218="Fechou pacote",IF(J218="",TODAY(),J218+7),IF(G218="Em tratamento",IF(M218="",TODAY(),IF(TODAY()&lt;=M218+1,M218+1,EDATE(M218,6)-30)),IF(G218="Pós-venda",IF(J218="",TODAY(),J218+7),IF(G218="Perdido",IF(J218="",TODAY(),J218+60),""))))))))</f>
        <v/>
      </c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3" t="str">
        <f aca="false">IF(OR(E219="",E219="A completar",E219="Ainda não sabe"),"",IF(OR(E219="Limpeza de pele",E219="Peeling de diamante",E219="Microagulhamento"),"Rosto","Corpo"))</f>
        <v/>
      </c>
      <c r="G219" s="12"/>
      <c r="H219" s="12"/>
      <c r="I219" s="12"/>
      <c r="J219" s="14"/>
      <c r="K219" s="12"/>
      <c r="L219" s="14"/>
      <c r="M219" s="14"/>
      <c r="N219" s="12"/>
      <c r="O219" s="12"/>
      <c r="P219" s="15" t="str">
        <f aca="false">IF(M219="","",EDATE(M219,6))</f>
        <v/>
      </c>
      <c r="Q219" s="15" t="str">
        <f aca="false">IF(W219="","",IF(WEEKDAY(W219)=1,W219+1,W219))</f>
        <v/>
      </c>
      <c r="R219" s="13" t="str">
        <f aca="true">IF(Q219="","",IF(AND(N(K219)&gt;=3,G219&lt;&gt;"Perdido"),"Mover para Perdido",IF(Q219&lt;TODAY(),"Atrasado",IF(Q219=TODAY(),"Hoje","No prazo"))))</f>
        <v/>
      </c>
      <c r="S219" s="12"/>
      <c r="T219" s="12"/>
      <c r="U219" s="12"/>
      <c r="V219" s="7"/>
      <c r="W219" s="15" t="str">
        <f aca="true">IF(G219="","",IF(OR(G219="Novo contato",G219="Em conversa"),IF(J219="",TODAY(),J219+1),IF(G219="Avaliação marcada",IF(L219="",TODAY(),L219-1),IF(G219="Proposta enviada",IF(J219="",TODAY(),J219+2),IF(G219="Fechou pacote",IF(J219="",TODAY(),J219+7),IF(G219="Em tratamento",IF(M219="",TODAY(),IF(TODAY()&lt;=M219+1,M219+1,EDATE(M219,6)-30)),IF(G219="Pós-venda",IF(J219="",TODAY(),J219+7),IF(G219="Perdido",IF(J219="",TODAY(),J219+60),""))))))))</f>
        <v/>
      </c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3" t="str">
        <f aca="false">IF(OR(E220="",E220="A completar",E220="Ainda não sabe"),"",IF(OR(E220="Limpeza de pele",E220="Peeling de diamante",E220="Microagulhamento"),"Rosto","Corpo"))</f>
        <v/>
      </c>
      <c r="G220" s="12"/>
      <c r="H220" s="12"/>
      <c r="I220" s="12"/>
      <c r="J220" s="14"/>
      <c r="K220" s="12"/>
      <c r="L220" s="14"/>
      <c r="M220" s="14"/>
      <c r="N220" s="12"/>
      <c r="O220" s="12"/>
      <c r="P220" s="15" t="str">
        <f aca="false">IF(M220="","",EDATE(M220,6))</f>
        <v/>
      </c>
      <c r="Q220" s="15" t="str">
        <f aca="false">IF(W220="","",IF(WEEKDAY(W220)=1,W220+1,W220))</f>
        <v/>
      </c>
      <c r="R220" s="13" t="str">
        <f aca="true">IF(Q220="","",IF(AND(N(K220)&gt;=3,G220&lt;&gt;"Perdido"),"Mover para Perdido",IF(Q220&lt;TODAY(),"Atrasado",IF(Q220=TODAY(),"Hoje","No prazo"))))</f>
        <v/>
      </c>
      <c r="S220" s="12"/>
      <c r="T220" s="12"/>
      <c r="U220" s="12"/>
      <c r="V220" s="7"/>
      <c r="W220" s="15" t="str">
        <f aca="true">IF(G220="","",IF(OR(G220="Novo contato",G220="Em conversa"),IF(J220="",TODAY(),J220+1),IF(G220="Avaliação marcada",IF(L220="",TODAY(),L220-1),IF(G220="Proposta enviada",IF(J220="",TODAY(),J220+2),IF(G220="Fechou pacote",IF(J220="",TODAY(),J220+7),IF(G220="Em tratamento",IF(M220="",TODAY(),IF(TODAY()&lt;=M220+1,M220+1,EDATE(M220,6)-30)),IF(G220="Pós-venda",IF(J220="",TODAY(),J220+7),IF(G220="Perdido",IF(J220="",TODAY(),J220+60),""))))))))</f>
        <v/>
      </c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3" t="str">
        <f aca="false">IF(OR(E221="",E221="A completar",E221="Ainda não sabe"),"",IF(OR(E221="Limpeza de pele",E221="Peeling de diamante",E221="Microagulhamento"),"Rosto","Corpo"))</f>
        <v/>
      </c>
      <c r="G221" s="12"/>
      <c r="H221" s="12"/>
      <c r="I221" s="12"/>
      <c r="J221" s="14"/>
      <c r="K221" s="12"/>
      <c r="L221" s="14"/>
      <c r="M221" s="14"/>
      <c r="N221" s="12"/>
      <c r="O221" s="12"/>
      <c r="P221" s="15" t="str">
        <f aca="false">IF(M221="","",EDATE(M221,6))</f>
        <v/>
      </c>
      <c r="Q221" s="15" t="str">
        <f aca="false">IF(W221="","",IF(WEEKDAY(W221)=1,W221+1,W221))</f>
        <v/>
      </c>
      <c r="R221" s="13" t="str">
        <f aca="true">IF(Q221="","",IF(AND(N(K221)&gt;=3,G221&lt;&gt;"Perdido"),"Mover para Perdido",IF(Q221&lt;TODAY(),"Atrasado",IF(Q221=TODAY(),"Hoje","No prazo"))))</f>
        <v/>
      </c>
      <c r="S221" s="12"/>
      <c r="T221" s="12"/>
      <c r="U221" s="12"/>
      <c r="V221" s="7"/>
      <c r="W221" s="15" t="str">
        <f aca="true">IF(G221="","",IF(OR(G221="Novo contato",G221="Em conversa"),IF(J221="",TODAY(),J221+1),IF(G221="Avaliação marcada",IF(L221="",TODAY(),L221-1),IF(G221="Proposta enviada",IF(J221="",TODAY(),J221+2),IF(G221="Fechou pacote",IF(J221="",TODAY(),J221+7),IF(G221="Em tratamento",IF(M221="",TODAY(),IF(TODAY()&lt;=M221+1,M221+1,EDATE(M221,6)-30)),IF(G221="Pós-venda",IF(J221="",TODAY(),J221+7),IF(G221="Perdido",IF(J221="",TODAY(),J221+60),""))))))))</f>
        <v/>
      </c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3" t="str">
        <f aca="false">IF(OR(E222="",E222="A completar",E222="Ainda não sabe"),"",IF(OR(E222="Limpeza de pele",E222="Peeling de diamante",E222="Microagulhamento"),"Rosto","Corpo"))</f>
        <v/>
      </c>
      <c r="G222" s="12"/>
      <c r="H222" s="12"/>
      <c r="I222" s="12"/>
      <c r="J222" s="14"/>
      <c r="K222" s="12"/>
      <c r="L222" s="14"/>
      <c r="M222" s="14"/>
      <c r="N222" s="12"/>
      <c r="O222" s="12"/>
      <c r="P222" s="15" t="str">
        <f aca="false">IF(M222="","",EDATE(M222,6))</f>
        <v/>
      </c>
      <c r="Q222" s="15" t="str">
        <f aca="false">IF(W222="","",IF(WEEKDAY(W222)=1,W222+1,W222))</f>
        <v/>
      </c>
      <c r="R222" s="13" t="str">
        <f aca="true">IF(Q222="","",IF(AND(N(K222)&gt;=3,G222&lt;&gt;"Perdido"),"Mover para Perdido",IF(Q222&lt;TODAY(),"Atrasado",IF(Q222=TODAY(),"Hoje","No prazo"))))</f>
        <v/>
      </c>
      <c r="S222" s="12"/>
      <c r="T222" s="12"/>
      <c r="U222" s="12"/>
      <c r="V222" s="7"/>
      <c r="W222" s="15" t="str">
        <f aca="true">IF(G222="","",IF(OR(G222="Novo contato",G222="Em conversa"),IF(J222="",TODAY(),J222+1),IF(G222="Avaliação marcada",IF(L222="",TODAY(),L222-1),IF(G222="Proposta enviada",IF(J222="",TODAY(),J222+2),IF(G222="Fechou pacote",IF(J222="",TODAY(),J222+7),IF(G222="Em tratamento",IF(M222="",TODAY(),IF(TODAY()&lt;=M222+1,M222+1,EDATE(M222,6)-30)),IF(G222="Pós-venda",IF(J222="",TODAY(),J222+7),IF(G222="Perdido",IF(J222="",TODAY(),J222+60),""))))))))</f>
        <v/>
      </c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3" t="str">
        <f aca="false">IF(OR(E223="",E223="A completar",E223="Ainda não sabe"),"",IF(OR(E223="Limpeza de pele",E223="Peeling de diamante",E223="Microagulhamento"),"Rosto","Corpo"))</f>
        <v/>
      </c>
      <c r="G223" s="12"/>
      <c r="H223" s="12"/>
      <c r="I223" s="12"/>
      <c r="J223" s="14"/>
      <c r="K223" s="12"/>
      <c r="L223" s="14"/>
      <c r="M223" s="14"/>
      <c r="N223" s="12"/>
      <c r="O223" s="12"/>
      <c r="P223" s="15" t="str">
        <f aca="false">IF(M223="","",EDATE(M223,6))</f>
        <v/>
      </c>
      <c r="Q223" s="15" t="str">
        <f aca="false">IF(W223="","",IF(WEEKDAY(W223)=1,W223+1,W223))</f>
        <v/>
      </c>
      <c r="R223" s="13" t="str">
        <f aca="true">IF(Q223="","",IF(AND(N(K223)&gt;=3,G223&lt;&gt;"Perdido"),"Mover para Perdido",IF(Q223&lt;TODAY(),"Atrasado",IF(Q223=TODAY(),"Hoje","No prazo"))))</f>
        <v/>
      </c>
      <c r="S223" s="12"/>
      <c r="T223" s="12"/>
      <c r="U223" s="12"/>
      <c r="V223" s="7"/>
      <c r="W223" s="15" t="str">
        <f aca="true">IF(G223="","",IF(OR(G223="Novo contato",G223="Em conversa"),IF(J223="",TODAY(),J223+1),IF(G223="Avaliação marcada",IF(L223="",TODAY(),L223-1),IF(G223="Proposta enviada",IF(J223="",TODAY(),J223+2),IF(G223="Fechou pacote",IF(J223="",TODAY(),J223+7),IF(G223="Em tratamento",IF(M223="",TODAY(),IF(TODAY()&lt;=M223+1,M223+1,EDATE(M223,6)-30)),IF(G223="Pós-venda",IF(J223="",TODAY(),J223+7),IF(G223="Perdido",IF(J223="",TODAY(),J223+60),""))))))))</f>
        <v/>
      </c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3" t="str">
        <f aca="false">IF(OR(E224="",E224="A completar",E224="Ainda não sabe"),"",IF(OR(E224="Limpeza de pele",E224="Peeling de diamante",E224="Microagulhamento"),"Rosto","Corpo"))</f>
        <v/>
      </c>
      <c r="G224" s="12"/>
      <c r="H224" s="12"/>
      <c r="I224" s="12"/>
      <c r="J224" s="14"/>
      <c r="K224" s="12"/>
      <c r="L224" s="14"/>
      <c r="M224" s="14"/>
      <c r="N224" s="12"/>
      <c r="O224" s="12"/>
      <c r="P224" s="15" t="str">
        <f aca="false">IF(M224="","",EDATE(M224,6))</f>
        <v/>
      </c>
      <c r="Q224" s="15" t="str">
        <f aca="false">IF(W224="","",IF(WEEKDAY(W224)=1,W224+1,W224))</f>
        <v/>
      </c>
      <c r="R224" s="13" t="str">
        <f aca="true">IF(Q224="","",IF(AND(N(K224)&gt;=3,G224&lt;&gt;"Perdido"),"Mover para Perdido",IF(Q224&lt;TODAY(),"Atrasado",IF(Q224=TODAY(),"Hoje","No prazo"))))</f>
        <v/>
      </c>
      <c r="S224" s="12"/>
      <c r="T224" s="12"/>
      <c r="U224" s="12"/>
      <c r="V224" s="7"/>
      <c r="W224" s="15" t="str">
        <f aca="true">IF(G224="","",IF(OR(G224="Novo contato",G224="Em conversa"),IF(J224="",TODAY(),J224+1),IF(G224="Avaliação marcada",IF(L224="",TODAY(),L224-1),IF(G224="Proposta enviada",IF(J224="",TODAY(),J224+2),IF(G224="Fechou pacote",IF(J224="",TODAY(),J224+7),IF(G224="Em tratamento",IF(M224="",TODAY(),IF(TODAY()&lt;=M224+1,M224+1,EDATE(M224,6)-30)),IF(G224="Pós-venda",IF(J224="",TODAY(),J224+7),IF(G224="Perdido",IF(J224="",TODAY(),J224+60),""))))))))</f>
        <v/>
      </c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3" t="str">
        <f aca="false">IF(OR(E225="",E225="A completar",E225="Ainda não sabe"),"",IF(OR(E225="Limpeza de pele",E225="Peeling de diamante",E225="Microagulhamento"),"Rosto","Corpo"))</f>
        <v/>
      </c>
      <c r="G225" s="12"/>
      <c r="H225" s="12"/>
      <c r="I225" s="12"/>
      <c r="J225" s="14"/>
      <c r="K225" s="12"/>
      <c r="L225" s="14"/>
      <c r="M225" s="14"/>
      <c r="N225" s="12"/>
      <c r="O225" s="12"/>
      <c r="P225" s="15" t="str">
        <f aca="false">IF(M225="","",EDATE(M225,6))</f>
        <v/>
      </c>
      <c r="Q225" s="15" t="str">
        <f aca="false">IF(W225="","",IF(WEEKDAY(W225)=1,W225+1,W225))</f>
        <v/>
      </c>
      <c r="R225" s="13" t="str">
        <f aca="true">IF(Q225="","",IF(AND(N(K225)&gt;=3,G225&lt;&gt;"Perdido"),"Mover para Perdido",IF(Q225&lt;TODAY(),"Atrasado",IF(Q225=TODAY(),"Hoje","No prazo"))))</f>
        <v/>
      </c>
      <c r="S225" s="12"/>
      <c r="T225" s="12"/>
      <c r="U225" s="12"/>
      <c r="V225" s="7"/>
      <c r="W225" s="15" t="str">
        <f aca="true">IF(G225="","",IF(OR(G225="Novo contato",G225="Em conversa"),IF(J225="",TODAY(),J225+1),IF(G225="Avaliação marcada",IF(L225="",TODAY(),L225-1),IF(G225="Proposta enviada",IF(J225="",TODAY(),J225+2),IF(G225="Fechou pacote",IF(J225="",TODAY(),J225+7),IF(G225="Em tratamento",IF(M225="",TODAY(),IF(TODAY()&lt;=M225+1,M225+1,EDATE(M225,6)-30)),IF(G225="Pós-venda",IF(J225="",TODAY(),J225+7),IF(G225="Perdido",IF(J225="",TODAY(),J225+60),""))))))))</f>
        <v/>
      </c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3" t="str">
        <f aca="false">IF(OR(E226="",E226="A completar",E226="Ainda não sabe"),"",IF(OR(E226="Limpeza de pele",E226="Peeling de diamante",E226="Microagulhamento"),"Rosto","Corpo"))</f>
        <v/>
      </c>
      <c r="G226" s="12"/>
      <c r="H226" s="12"/>
      <c r="I226" s="12"/>
      <c r="J226" s="14"/>
      <c r="K226" s="12"/>
      <c r="L226" s="14"/>
      <c r="M226" s="14"/>
      <c r="N226" s="12"/>
      <c r="O226" s="12"/>
      <c r="P226" s="15" t="str">
        <f aca="false">IF(M226="","",EDATE(M226,6))</f>
        <v/>
      </c>
      <c r="Q226" s="15" t="str">
        <f aca="false">IF(W226="","",IF(WEEKDAY(W226)=1,W226+1,W226))</f>
        <v/>
      </c>
      <c r="R226" s="13" t="str">
        <f aca="true">IF(Q226="","",IF(AND(N(K226)&gt;=3,G226&lt;&gt;"Perdido"),"Mover para Perdido",IF(Q226&lt;TODAY(),"Atrasado",IF(Q226=TODAY(),"Hoje","No prazo"))))</f>
        <v/>
      </c>
      <c r="S226" s="12"/>
      <c r="T226" s="12"/>
      <c r="U226" s="12"/>
      <c r="V226" s="7"/>
      <c r="W226" s="15" t="str">
        <f aca="true">IF(G226="","",IF(OR(G226="Novo contato",G226="Em conversa"),IF(J226="",TODAY(),J226+1),IF(G226="Avaliação marcada",IF(L226="",TODAY(),L226-1),IF(G226="Proposta enviada",IF(J226="",TODAY(),J226+2),IF(G226="Fechou pacote",IF(J226="",TODAY(),J226+7),IF(G226="Em tratamento",IF(M226="",TODAY(),IF(TODAY()&lt;=M226+1,M226+1,EDATE(M226,6)-30)),IF(G226="Pós-venda",IF(J226="",TODAY(),J226+7),IF(G226="Perdido",IF(J226="",TODAY(),J226+60),""))))))))</f>
        <v/>
      </c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3" t="str">
        <f aca="false">IF(OR(E227="",E227="A completar",E227="Ainda não sabe"),"",IF(OR(E227="Limpeza de pele",E227="Peeling de diamante",E227="Microagulhamento"),"Rosto","Corpo"))</f>
        <v/>
      </c>
      <c r="G227" s="12"/>
      <c r="H227" s="12"/>
      <c r="I227" s="12"/>
      <c r="J227" s="14"/>
      <c r="K227" s="12"/>
      <c r="L227" s="14"/>
      <c r="M227" s="14"/>
      <c r="N227" s="12"/>
      <c r="O227" s="12"/>
      <c r="P227" s="15" t="str">
        <f aca="false">IF(M227="","",EDATE(M227,6))</f>
        <v/>
      </c>
      <c r="Q227" s="15" t="str">
        <f aca="false">IF(W227="","",IF(WEEKDAY(W227)=1,W227+1,W227))</f>
        <v/>
      </c>
      <c r="R227" s="13" t="str">
        <f aca="true">IF(Q227="","",IF(AND(N(K227)&gt;=3,G227&lt;&gt;"Perdido"),"Mover para Perdido",IF(Q227&lt;TODAY(),"Atrasado",IF(Q227=TODAY(),"Hoje","No prazo"))))</f>
        <v/>
      </c>
      <c r="S227" s="12"/>
      <c r="T227" s="12"/>
      <c r="U227" s="12"/>
      <c r="V227" s="7"/>
      <c r="W227" s="15" t="str">
        <f aca="true">IF(G227="","",IF(OR(G227="Novo contato",G227="Em conversa"),IF(J227="",TODAY(),J227+1),IF(G227="Avaliação marcada",IF(L227="",TODAY(),L227-1),IF(G227="Proposta enviada",IF(J227="",TODAY(),J227+2),IF(G227="Fechou pacote",IF(J227="",TODAY(),J227+7),IF(G227="Em tratamento",IF(M227="",TODAY(),IF(TODAY()&lt;=M227+1,M227+1,EDATE(M227,6)-30)),IF(G227="Pós-venda",IF(J227="",TODAY(),J227+7),IF(G227="Perdido",IF(J227="",TODAY(),J227+60),""))))))))</f>
        <v/>
      </c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3" t="str">
        <f aca="false">IF(OR(E228="",E228="A completar",E228="Ainda não sabe"),"",IF(OR(E228="Limpeza de pele",E228="Peeling de diamante",E228="Microagulhamento"),"Rosto","Corpo"))</f>
        <v/>
      </c>
      <c r="G228" s="12"/>
      <c r="H228" s="12"/>
      <c r="I228" s="12"/>
      <c r="J228" s="14"/>
      <c r="K228" s="12"/>
      <c r="L228" s="14"/>
      <c r="M228" s="14"/>
      <c r="N228" s="12"/>
      <c r="O228" s="12"/>
      <c r="P228" s="15" t="str">
        <f aca="false">IF(M228="","",EDATE(M228,6))</f>
        <v/>
      </c>
      <c r="Q228" s="15" t="str">
        <f aca="false">IF(W228="","",IF(WEEKDAY(W228)=1,W228+1,W228))</f>
        <v/>
      </c>
      <c r="R228" s="13" t="str">
        <f aca="true">IF(Q228="","",IF(AND(N(K228)&gt;=3,G228&lt;&gt;"Perdido"),"Mover para Perdido",IF(Q228&lt;TODAY(),"Atrasado",IF(Q228=TODAY(),"Hoje","No prazo"))))</f>
        <v/>
      </c>
      <c r="S228" s="12"/>
      <c r="T228" s="12"/>
      <c r="U228" s="12"/>
      <c r="V228" s="7"/>
      <c r="W228" s="15" t="str">
        <f aca="true">IF(G228="","",IF(OR(G228="Novo contato",G228="Em conversa"),IF(J228="",TODAY(),J228+1),IF(G228="Avaliação marcada",IF(L228="",TODAY(),L228-1),IF(G228="Proposta enviada",IF(J228="",TODAY(),J228+2),IF(G228="Fechou pacote",IF(J228="",TODAY(),J228+7),IF(G228="Em tratamento",IF(M228="",TODAY(),IF(TODAY()&lt;=M228+1,M228+1,EDATE(M228,6)-30)),IF(G228="Pós-venda",IF(J228="",TODAY(),J228+7),IF(G228="Perdido",IF(J228="",TODAY(),J228+60),""))))))))</f>
        <v/>
      </c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3" t="str">
        <f aca="false">IF(OR(E229="",E229="A completar",E229="Ainda não sabe"),"",IF(OR(E229="Limpeza de pele",E229="Peeling de diamante",E229="Microagulhamento"),"Rosto","Corpo"))</f>
        <v/>
      </c>
      <c r="G229" s="12"/>
      <c r="H229" s="12"/>
      <c r="I229" s="12"/>
      <c r="J229" s="14"/>
      <c r="K229" s="12"/>
      <c r="L229" s="14"/>
      <c r="M229" s="14"/>
      <c r="N229" s="12"/>
      <c r="O229" s="12"/>
      <c r="P229" s="15" t="str">
        <f aca="false">IF(M229="","",EDATE(M229,6))</f>
        <v/>
      </c>
      <c r="Q229" s="15" t="str">
        <f aca="false">IF(W229="","",IF(WEEKDAY(W229)=1,W229+1,W229))</f>
        <v/>
      </c>
      <c r="R229" s="13" t="str">
        <f aca="true">IF(Q229="","",IF(AND(N(K229)&gt;=3,G229&lt;&gt;"Perdido"),"Mover para Perdido",IF(Q229&lt;TODAY(),"Atrasado",IF(Q229=TODAY(),"Hoje","No prazo"))))</f>
        <v/>
      </c>
      <c r="S229" s="12"/>
      <c r="T229" s="12"/>
      <c r="U229" s="12"/>
      <c r="V229" s="7"/>
      <c r="W229" s="15" t="str">
        <f aca="true">IF(G229="","",IF(OR(G229="Novo contato",G229="Em conversa"),IF(J229="",TODAY(),J229+1),IF(G229="Avaliação marcada",IF(L229="",TODAY(),L229-1),IF(G229="Proposta enviada",IF(J229="",TODAY(),J229+2),IF(G229="Fechou pacote",IF(J229="",TODAY(),J229+7),IF(G229="Em tratamento",IF(M229="",TODAY(),IF(TODAY()&lt;=M229+1,M229+1,EDATE(M229,6)-30)),IF(G229="Pós-venda",IF(J229="",TODAY(),J229+7),IF(G229="Perdido",IF(J229="",TODAY(),J229+60),""))))))))</f>
        <v/>
      </c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3" t="str">
        <f aca="false">IF(OR(E230="",E230="A completar",E230="Ainda não sabe"),"",IF(OR(E230="Limpeza de pele",E230="Peeling de diamante",E230="Microagulhamento"),"Rosto","Corpo"))</f>
        <v/>
      </c>
      <c r="G230" s="12"/>
      <c r="H230" s="12"/>
      <c r="I230" s="12"/>
      <c r="J230" s="14"/>
      <c r="K230" s="12"/>
      <c r="L230" s="14"/>
      <c r="M230" s="14"/>
      <c r="N230" s="12"/>
      <c r="O230" s="12"/>
      <c r="P230" s="15" t="str">
        <f aca="false">IF(M230="","",EDATE(M230,6))</f>
        <v/>
      </c>
      <c r="Q230" s="15" t="str">
        <f aca="false">IF(W230="","",IF(WEEKDAY(W230)=1,W230+1,W230))</f>
        <v/>
      </c>
      <c r="R230" s="13" t="str">
        <f aca="true">IF(Q230="","",IF(AND(N(K230)&gt;=3,G230&lt;&gt;"Perdido"),"Mover para Perdido",IF(Q230&lt;TODAY(),"Atrasado",IF(Q230=TODAY(),"Hoje","No prazo"))))</f>
        <v/>
      </c>
      <c r="S230" s="12"/>
      <c r="T230" s="12"/>
      <c r="U230" s="12"/>
      <c r="V230" s="7"/>
      <c r="W230" s="15" t="str">
        <f aca="true">IF(G230="","",IF(OR(G230="Novo contato",G230="Em conversa"),IF(J230="",TODAY(),J230+1),IF(G230="Avaliação marcada",IF(L230="",TODAY(),L230-1),IF(G230="Proposta enviada",IF(J230="",TODAY(),J230+2),IF(G230="Fechou pacote",IF(J230="",TODAY(),J230+7),IF(G230="Em tratamento",IF(M230="",TODAY(),IF(TODAY()&lt;=M230+1,M230+1,EDATE(M230,6)-30)),IF(G230="Pós-venda",IF(J230="",TODAY(),J230+7),IF(G230="Perdido",IF(J230="",TODAY(),J230+60),""))))))))</f>
        <v/>
      </c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3" t="str">
        <f aca="false">IF(OR(E231="",E231="A completar",E231="Ainda não sabe"),"",IF(OR(E231="Limpeza de pele",E231="Peeling de diamante",E231="Microagulhamento"),"Rosto","Corpo"))</f>
        <v/>
      </c>
      <c r="G231" s="12"/>
      <c r="H231" s="12"/>
      <c r="I231" s="12"/>
      <c r="J231" s="14"/>
      <c r="K231" s="12"/>
      <c r="L231" s="14"/>
      <c r="M231" s="14"/>
      <c r="N231" s="12"/>
      <c r="O231" s="12"/>
      <c r="P231" s="15" t="str">
        <f aca="false">IF(M231="","",EDATE(M231,6))</f>
        <v/>
      </c>
      <c r="Q231" s="15" t="str">
        <f aca="false">IF(W231="","",IF(WEEKDAY(W231)=1,W231+1,W231))</f>
        <v/>
      </c>
      <c r="R231" s="13" t="str">
        <f aca="true">IF(Q231="","",IF(AND(N(K231)&gt;=3,G231&lt;&gt;"Perdido"),"Mover para Perdido",IF(Q231&lt;TODAY(),"Atrasado",IF(Q231=TODAY(),"Hoje","No prazo"))))</f>
        <v/>
      </c>
      <c r="S231" s="12"/>
      <c r="T231" s="12"/>
      <c r="U231" s="12"/>
      <c r="V231" s="7"/>
      <c r="W231" s="15" t="str">
        <f aca="true">IF(G231="","",IF(OR(G231="Novo contato",G231="Em conversa"),IF(J231="",TODAY(),J231+1),IF(G231="Avaliação marcada",IF(L231="",TODAY(),L231-1),IF(G231="Proposta enviada",IF(J231="",TODAY(),J231+2),IF(G231="Fechou pacote",IF(J231="",TODAY(),J231+7),IF(G231="Em tratamento",IF(M231="",TODAY(),IF(TODAY()&lt;=M231+1,M231+1,EDATE(M231,6)-30)),IF(G231="Pós-venda",IF(J231="",TODAY(),J231+7),IF(G231="Perdido",IF(J231="",TODAY(),J231+60),""))))))))</f>
        <v/>
      </c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3" t="str">
        <f aca="false">IF(OR(E232="",E232="A completar",E232="Ainda não sabe"),"",IF(OR(E232="Limpeza de pele",E232="Peeling de diamante",E232="Microagulhamento"),"Rosto","Corpo"))</f>
        <v/>
      </c>
      <c r="G232" s="12"/>
      <c r="H232" s="12"/>
      <c r="I232" s="12"/>
      <c r="J232" s="14"/>
      <c r="K232" s="12"/>
      <c r="L232" s="14"/>
      <c r="M232" s="14"/>
      <c r="N232" s="12"/>
      <c r="O232" s="12"/>
      <c r="P232" s="15" t="str">
        <f aca="false">IF(M232="","",EDATE(M232,6))</f>
        <v/>
      </c>
      <c r="Q232" s="15" t="str">
        <f aca="false">IF(W232="","",IF(WEEKDAY(W232)=1,W232+1,W232))</f>
        <v/>
      </c>
      <c r="R232" s="13" t="str">
        <f aca="true">IF(Q232="","",IF(AND(N(K232)&gt;=3,G232&lt;&gt;"Perdido"),"Mover para Perdido",IF(Q232&lt;TODAY(),"Atrasado",IF(Q232=TODAY(),"Hoje","No prazo"))))</f>
        <v/>
      </c>
      <c r="S232" s="12"/>
      <c r="T232" s="12"/>
      <c r="U232" s="12"/>
      <c r="V232" s="7"/>
      <c r="W232" s="15" t="str">
        <f aca="true">IF(G232="","",IF(OR(G232="Novo contato",G232="Em conversa"),IF(J232="",TODAY(),J232+1),IF(G232="Avaliação marcada",IF(L232="",TODAY(),L232-1),IF(G232="Proposta enviada",IF(J232="",TODAY(),J232+2),IF(G232="Fechou pacote",IF(J232="",TODAY(),J232+7),IF(G232="Em tratamento",IF(M232="",TODAY(),IF(TODAY()&lt;=M232+1,M232+1,EDATE(M232,6)-30)),IF(G232="Pós-venda",IF(J232="",TODAY(),J232+7),IF(G232="Perdido",IF(J232="",TODAY(),J232+60),""))))))))</f>
        <v/>
      </c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3" t="str">
        <f aca="false">IF(OR(E233="",E233="A completar",E233="Ainda não sabe"),"",IF(OR(E233="Limpeza de pele",E233="Peeling de diamante",E233="Microagulhamento"),"Rosto","Corpo"))</f>
        <v/>
      </c>
      <c r="G233" s="12"/>
      <c r="H233" s="12"/>
      <c r="I233" s="12"/>
      <c r="J233" s="14"/>
      <c r="K233" s="12"/>
      <c r="L233" s="14"/>
      <c r="M233" s="14"/>
      <c r="N233" s="12"/>
      <c r="O233" s="12"/>
      <c r="P233" s="15" t="str">
        <f aca="false">IF(M233="","",EDATE(M233,6))</f>
        <v/>
      </c>
      <c r="Q233" s="15" t="str">
        <f aca="false">IF(W233="","",IF(WEEKDAY(W233)=1,W233+1,W233))</f>
        <v/>
      </c>
      <c r="R233" s="13" t="str">
        <f aca="true">IF(Q233="","",IF(AND(N(K233)&gt;=3,G233&lt;&gt;"Perdido"),"Mover para Perdido",IF(Q233&lt;TODAY(),"Atrasado",IF(Q233=TODAY(),"Hoje","No prazo"))))</f>
        <v/>
      </c>
      <c r="S233" s="12"/>
      <c r="T233" s="12"/>
      <c r="U233" s="12"/>
      <c r="V233" s="7"/>
      <c r="W233" s="15" t="str">
        <f aca="true">IF(G233="","",IF(OR(G233="Novo contato",G233="Em conversa"),IF(J233="",TODAY(),J233+1),IF(G233="Avaliação marcada",IF(L233="",TODAY(),L233-1),IF(G233="Proposta enviada",IF(J233="",TODAY(),J233+2),IF(G233="Fechou pacote",IF(J233="",TODAY(),J233+7),IF(G233="Em tratamento",IF(M233="",TODAY(),IF(TODAY()&lt;=M233+1,M233+1,EDATE(M233,6)-30)),IF(G233="Pós-venda",IF(J233="",TODAY(),J233+7),IF(G233="Perdido",IF(J233="",TODAY(),J233+60),""))))))))</f>
        <v/>
      </c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3" t="str">
        <f aca="false">IF(OR(E234="",E234="A completar",E234="Ainda não sabe"),"",IF(OR(E234="Limpeza de pele",E234="Peeling de diamante",E234="Microagulhamento"),"Rosto","Corpo"))</f>
        <v/>
      </c>
      <c r="G234" s="12"/>
      <c r="H234" s="12"/>
      <c r="I234" s="12"/>
      <c r="J234" s="14"/>
      <c r="K234" s="12"/>
      <c r="L234" s="14"/>
      <c r="M234" s="14"/>
      <c r="N234" s="12"/>
      <c r="O234" s="12"/>
      <c r="P234" s="15" t="str">
        <f aca="false">IF(M234="","",EDATE(M234,6))</f>
        <v/>
      </c>
      <c r="Q234" s="15" t="str">
        <f aca="false">IF(W234="","",IF(WEEKDAY(W234)=1,W234+1,W234))</f>
        <v/>
      </c>
      <c r="R234" s="13" t="str">
        <f aca="true">IF(Q234="","",IF(AND(N(K234)&gt;=3,G234&lt;&gt;"Perdido"),"Mover para Perdido",IF(Q234&lt;TODAY(),"Atrasado",IF(Q234=TODAY(),"Hoje","No prazo"))))</f>
        <v/>
      </c>
      <c r="S234" s="12"/>
      <c r="T234" s="12"/>
      <c r="U234" s="12"/>
      <c r="V234" s="7"/>
      <c r="W234" s="15" t="str">
        <f aca="true">IF(G234="","",IF(OR(G234="Novo contato",G234="Em conversa"),IF(J234="",TODAY(),J234+1),IF(G234="Avaliação marcada",IF(L234="",TODAY(),L234-1),IF(G234="Proposta enviada",IF(J234="",TODAY(),J234+2),IF(G234="Fechou pacote",IF(J234="",TODAY(),J234+7),IF(G234="Em tratamento",IF(M234="",TODAY(),IF(TODAY()&lt;=M234+1,M234+1,EDATE(M234,6)-30)),IF(G234="Pós-venda",IF(J234="",TODAY(),J234+7),IF(G234="Perdido",IF(J234="",TODAY(),J234+60),""))))))))</f>
        <v/>
      </c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3" t="str">
        <f aca="false">IF(OR(E235="",E235="A completar",E235="Ainda não sabe"),"",IF(OR(E235="Limpeza de pele",E235="Peeling de diamante",E235="Microagulhamento"),"Rosto","Corpo"))</f>
        <v/>
      </c>
      <c r="G235" s="12"/>
      <c r="H235" s="12"/>
      <c r="I235" s="12"/>
      <c r="J235" s="14"/>
      <c r="K235" s="12"/>
      <c r="L235" s="14"/>
      <c r="M235" s="14"/>
      <c r="N235" s="12"/>
      <c r="O235" s="12"/>
      <c r="P235" s="15" t="str">
        <f aca="false">IF(M235="","",EDATE(M235,6))</f>
        <v/>
      </c>
      <c r="Q235" s="15" t="str">
        <f aca="false">IF(W235="","",IF(WEEKDAY(W235)=1,W235+1,W235))</f>
        <v/>
      </c>
      <c r="R235" s="13" t="str">
        <f aca="true">IF(Q235="","",IF(AND(N(K235)&gt;=3,G235&lt;&gt;"Perdido"),"Mover para Perdido",IF(Q235&lt;TODAY(),"Atrasado",IF(Q235=TODAY(),"Hoje","No prazo"))))</f>
        <v/>
      </c>
      <c r="S235" s="12"/>
      <c r="T235" s="12"/>
      <c r="U235" s="12"/>
      <c r="V235" s="7"/>
      <c r="W235" s="15" t="str">
        <f aca="true">IF(G235="","",IF(OR(G235="Novo contato",G235="Em conversa"),IF(J235="",TODAY(),J235+1),IF(G235="Avaliação marcada",IF(L235="",TODAY(),L235-1),IF(G235="Proposta enviada",IF(J235="",TODAY(),J235+2),IF(G235="Fechou pacote",IF(J235="",TODAY(),J235+7),IF(G235="Em tratamento",IF(M235="",TODAY(),IF(TODAY()&lt;=M235+1,M235+1,EDATE(M235,6)-30)),IF(G235="Pós-venda",IF(J235="",TODAY(),J235+7),IF(G235="Perdido",IF(J235="",TODAY(),J235+60),""))))))))</f>
        <v/>
      </c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3" t="str">
        <f aca="false">IF(OR(E236="",E236="A completar",E236="Ainda não sabe"),"",IF(OR(E236="Limpeza de pele",E236="Peeling de diamante",E236="Microagulhamento"),"Rosto","Corpo"))</f>
        <v/>
      </c>
      <c r="G236" s="12"/>
      <c r="H236" s="12"/>
      <c r="I236" s="12"/>
      <c r="J236" s="14"/>
      <c r="K236" s="12"/>
      <c r="L236" s="14"/>
      <c r="M236" s="14"/>
      <c r="N236" s="12"/>
      <c r="O236" s="12"/>
      <c r="P236" s="15" t="str">
        <f aca="false">IF(M236="","",EDATE(M236,6))</f>
        <v/>
      </c>
      <c r="Q236" s="15" t="str">
        <f aca="false">IF(W236="","",IF(WEEKDAY(W236)=1,W236+1,W236))</f>
        <v/>
      </c>
      <c r="R236" s="13" t="str">
        <f aca="true">IF(Q236="","",IF(AND(N(K236)&gt;=3,G236&lt;&gt;"Perdido"),"Mover para Perdido",IF(Q236&lt;TODAY(),"Atrasado",IF(Q236=TODAY(),"Hoje","No prazo"))))</f>
        <v/>
      </c>
      <c r="S236" s="12"/>
      <c r="T236" s="12"/>
      <c r="U236" s="12"/>
      <c r="V236" s="7"/>
      <c r="W236" s="15" t="str">
        <f aca="true">IF(G236="","",IF(OR(G236="Novo contato",G236="Em conversa"),IF(J236="",TODAY(),J236+1),IF(G236="Avaliação marcada",IF(L236="",TODAY(),L236-1),IF(G236="Proposta enviada",IF(J236="",TODAY(),J236+2),IF(G236="Fechou pacote",IF(J236="",TODAY(),J236+7),IF(G236="Em tratamento",IF(M236="",TODAY(),IF(TODAY()&lt;=M236+1,M236+1,EDATE(M236,6)-30)),IF(G236="Pós-venda",IF(J236="",TODAY(),J236+7),IF(G236="Perdido",IF(J236="",TODAY(),J236+60),""))))))))</f>
        <v/>
      </c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3" t="str">
        <f aca="false">IF(OR(E237="",E237="A completar",E237="Ainda não sabe"),"",IF(OR(E237="Limpeza de pele",E237="Peeling de diamante",E237="Microagulhamento"),"Rosto","Corpo"))</f>
        <v/>
      </c>
      <c r="G237" s="12"/>
      <c r="H237" s="12"/>
      <c r="I237" s="12"/>
      <c r="J237" s="14"/>
      <c r="K237" s="12"/>
      <c r="L237" s="14"/>
      <c r="M237" s="14"/>
      <c r="N237" s="12"/>
      <c r="O237" s="12"/>
      <c r="P237" s="15" t="str">
        <f aca="false">IF(M237="","",EDATE(M237,6))</f>
        <v/>
      </c>
      <c r="Q237" s="15" t="str">
        <f aca="false">IF(W237="","",IF(WEEKDAY(W237)=1,W237+1,W237))</f>
        <v/>
      </c>
      <c r="R237" s="13" t="str">
        <f aca="true">IF(Q237="","",IF(AND(N(K237)&gt;=3,G237&lt;&gt;"Perdido"),"Mover para Perdido",IF(Q237&lt;TODAY(),"Atrasado",IF(Q237=TODAY(),"Hoje","No prazo"))))</f>
        <v/>
      </c>
      <c r="S237" s="12"/>
      <c r="T237" s="12"/>
      <c r="U237" s="12"/>
      <c r="V237" s="7"/>
      <c r="W237" s="15" t="str">
        <f aca="true">IF(G237="","",IF(OR(G237="Novo contato",G237="Em conversa"),IF(J237="",TODAY(),J237+1),IF(G237="Avaliação marcada",IF(L237="",TODAY(),L237-1),IF(G237="Proposta enviada",IF(J237="",TODAY(),J237+2),IF(G237="Fechou pacote",IF(J237="",TODAY(),J237+7),IF(G237="Em tratamento",IF(M237="",TODAY(),IF(TODAY()&lt;=M237+1,M237+1,EDATE(M237,6)-30)),IF(G237="Pós-venda",IF(J237="",TODAY(),J237+7),IF(G237="Perdido",IF(J237="",TODAY(),J237+60),""))))))))</f>
        <v/>
      </c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3" t="str">
        <f aca="false">IF(OR(E238="",E238="A completar",E238="Ainda não sabe"),"",IF(OR(E238="Limpeza de pele",E238="Peeling de diamante",E238="Microagulhamento"),"Rosto","Corpo"))</f>
        <v/>
      </c>
      <c r="G238" s="12"/>
      <c r="H238" s="12"/>
      <c r="I238" s="12"/>
      <c r="J238" s="14"/>
      <c r="K238" s="12"/>
      <c r="L238" s="14"/>
      <c r="M238" s="14"/>
      <c r="N238" s="12"/>
      <c r="O238" s="12"/>
      <c r="P238" s="15" t="str">
        <f aca="false">IF(M238="","",EDATE(M238,6))</f>
        <v/>
      </c>
      <c r="Q238" s="15" t="str">
        <f aca="false">IF(W238="","",IF(WEEKDAY(W238)=1,W238+1,W238))</f>
        <v/>
      </c>
      <c r="R238" s="13" t="str">
        <f aca="true">IF(Q238="","",IF(AND(N(K238)&gt;=3,G238&lt;&gt;"Perdido"),"Mover para Perdido",IF(Q238&lt;TODAY(),"Atrasado",IF(Q238=TODAY(),"Hoje","No prazo"))))</f>
        <v/>
      </c>
      <c r="S238" s="12"/>
      <c r="T238" s="12"/>
      <c r="U238" s="12"/>
      <c r="V238" s="7"/>
      <c r="W238" s="15" t="str">
        <f aca="true">IF(G238="","",IF(OR(G238="Novo contato",G238="Em conversa"),IF(J238="",TODAY(),J238+1),IF(G238="Avaliação marcada",IF(L238="",TODAY(),L238-1),IF(G238="Proposta enviada",IF(J238="",TODAY(),J238+2),IF(G238="Fechou pacote",IF(J238="",TODAY(),J238+7),IF(G238="Em tratamento",IF(M238="",TODAY(),IF(TODAY()&lt;=M238+1,M238+1,EDATE(M238,6)-30)),IF(G238="Pós-venda",IF(J238="",TODAY(),J238+7),IF(G238="Perdido",IF(J238="",TODAY(),J238+60),""))))))))</f>
        <v/>
      </c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3" t="str">
        <f aca="false">IF(OR(E239="",E239="A completar",E239="Ainda não sabe"),"",IF(OR(E239="Limpeza de pele",E239="Peeling de diamante",E239="Microagulhamento"),"Rosto","Corpo"))</f>
        <v/>
      </c>
      <c r="G239" s="12"/>
      <c r="H239" s="12"/>
      <c r="I239" s="12"/>
      <c r="J239" s="14"/>
      <c r="K239" s="12"/>
      <c r="L239" s="14"/>
      <c r="M239" s="14"/>
      <c r="N239" s="12"/>
      <c r="O239" s="12"/>
      <c r="P239" s="15" t="str">
        <f aca="false">IF(M239="","",EDATE(M239,6))</f>
        <v/>
      </c>
      <c r="Q239" s="15" t="str">
        <f aca="false">IF(W239="","",IF(WEEKDAY(W239)=1,W239+1,W239))</f>
        <v/>
      </c>
      <c r="R239" s="13" t="str">
        <f aca="true">IF(Q239="","",IF(AND(N(K239)&gt;=3,G239&lt;&gt;"Perdido"),"Mover para Perdido",IF(Q239&lt;TODAY(),"Atrasado",IF(Q239=TODAY(),"Hoje","No prazo"))))</f>
        <v/>
      </c>
      <c r="S239" s="12"/>
      <c r="T239" s="12"/>
      <c r="U239" s="12"/>
      <c r="V239" s="7"/>
      <c r="W239" s="15" t="str">
        <f aca="true">IF(G239="","",IF(OR(G239="Novo contato",G239="Em conversa"),IF(J239="",TODAY(),J239+1),IF(G239="Avaliação marcada",IF(L239="",TODAY(),L239-1),IF(G239="Proposta enviada",IF(J239="",TODAY(),J239+2),IF(G239="Fechou pacote",IF(J239="",TODAY(),J239+7),IF(G239="Em tratamento",IF(M239="",TODAY(),IF(TODAY()&lt;=M239+1,M239+1,EDATE(M239,6)-30)),IF(G239="Pós-venda",IF(J239="",TODAY(),J239+7),IF(G239="Perdido",IF(J239="",TODAY(),J239+60),""))))))))</f>
        <v/>
      </c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3" t="str">
        <f aca="false">IF(OR(E240="",E240="A completar",E240="Ainda não sabe"),"",IF(OR(E240="Limpeza de pele",E240="Peeling de diamante",E240="Microagulhamento"),"Rosto","Corpo"))</f>
        <v/>
      </c>
      <c r="G240" s="12"/>
      <c r="H240" s="12"/>
      <c r="I240" s="12"/>
      <c r="J240" s="14"/>
      <c r="K240" s="12"/>
      <c r="L240" s="14"/>
      <c r="M240" s="14"/>
      <c r="N240" s="12"/>
      <c r="O240" s="12"/>
      <c r="P240" s="15" t="str">
        <f aca="false">IF(M240="","",EDATE(M240,6))</f>
        <v/>
      </c>
      <c r="Q240" s="15" t="str">
        <f aca="false">IF(W240="","",IF(WEEKDAY(W240)=1,W240+1,W240))</f>
        <v/>
      </c>
      <c r="R240" s="13" t="str">
        <f aca="true">IF(Q240="","",IF(AND(N(K240)&gt;=3,G240&lt;&gt;"Perdido"),"Mover para Perdido",IF(Q240&lt;TODAY(),"Atrasado",IF(Q240=TODAY(),"Hoje","No prazo"))))</f>
        <v/>
      </c>
      <c r="S240" s="12"/>
      <c r="T240" s="12"/>
      <c r="U240" s="12"/>
      <c r="V240" s="7"/>
      <c r="W240" s="15" t="str">
        <f aca="true">IF(G240="","",IF(OR(G240="Novo contato",G240="Em conversa"),IF(J240="",TODAY(),J240+1),IF(G240="Avaliação marcada",IF(L240="",TODAY(),L240-1),IF(G240="Proposta enviada",IF(J240="",TODAY(),J240+2),IF(G240="Fechou pacote",IF(J240="",TODAY(),J240+7),IF(G240="Em tratamento",IF(M240="",TODAY(),IF(TODAY()&lt;=M240+1,M240+1,EDATE(M240,6)-30)),IF(G240="Pós-venda",IF(J240="",TODAY(),J240+7),IF(G240="Perdido",IF(J240="",TODAY(),J240+60),""))))))))</f>
        <v/>
      </c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3" t="str">
        <f aca="false">IF(OR(E241="",E241="A completar",E241="Ainda não sabe"),"",IF(OR(E241="Limpeza de pele",E241="Peeling de diamante",E241="Microagulhamento"),"Rosto","Corpo"))</f>
        <v/>
      </c>
      <c r="G241" s="12"/>
      <c r="H241" s="12"/>
      <c r="I241" s="12"/>
      <c r="J241" s="14"/>
      <c r="K241" s="12"/>
      <c r="L241" s="14"/>
      <c r="M241" s="14"/>
      <c r="N241" s="12"/>
      <c r="O241" s="12"/>
      <c r="P241" s="15" t="str">
        <f aca="false">IF(M241="","",EDATE(M241,6))</f>
        <v/>
      </c>
      <c r="Q241" s="15" t="str">
        <f aca="false">IF(W241="","",IF(WEEKDAY(W241)=1,W241+1,W241))</f>
        <v/>
      </c>
      <c r="R241" s="13" t="str">
        <f aca="true">IF(Q241="","",IF(AND(N(K241)&gt;=3,G241&lt;&gt;"Perdido"),"Mover para Perdido",IF(Q241&lt;TODAY(),"Atrasado",IF(Q241=TODAY(),"Hoje","No prazo"))))</f>
        <v/>
      </c>
      <c r="S241" s="12"/>
      <c r="T241" s="12"/>
      <c r="U241" s="12"/>
      <c r="V241" s="7"/>
      <c r="W241" s="15" t="str">
        <f aca="true">IF(G241="","",IF(OR(G241="Novo contato",G241="Em conversa"),IF(J241="",TODAY(),J241+1),IF(G241="Avaliação marcada",IF(L241="",TODAY(),L241-1),IF(G241="Proposta enviada",IF(J241="",TODAY(),J241+2),IF(G241="Fechou pacote",IF(J241="",TODAY(),J241+7),IF(G241="Em tratamento",IF(M241="",TODAY(),IF(TODAY()&lt;=M241+1,M241+1,EDATE(M241,6)-30)),IF(G241="Pós-venda",IF(J241="",TODAY(),J241+7),IF(G241="Perdido",IF(J241="",TODAY(),J241+60),""))))))))</f>
        <v/>
      </c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3" t="str">
        <f aca="false">IF(OR(E242="",E242="A completar",E242="Ainda não sabe"),"",IF(OR(E242="Limpeza de pele",E242="Peeling de diamante",E242="Microagulhamento"),"Rosto","Corpo"))</f>
        <v/>
      </c>
      <c r="G242" s="12"/>
      <c r="H242" s="12"/>
      <c r="I242" s="12"/>
      <c r="J242" s="14"/>
      <c r="K242" s="12"/>
      <c r="L242" s="14"/>
      <c r="M242" s="14"/>
      <c r="N242" s="12"/>
      <c r="O242" s="12"/>
      <c r="P242" s="15" t="str">
        <f aca="false">IF(M242="","",EDATE(M242,6))</f>
        <v/>
      </c>
      <c r="Q242" s="15" t="str">
        <f aca="false">IF(W242="","",IF(WEEKDAY(W242)=1,W242+1,W242))</f>
        <v/>
      </c>
      <c r="R242" s="13" t="str">
        <f aca="true">IF(Q242="","",IF(AND(N(K242)&gt;=3,G242&lt;&gt;"Perdido"),"Mover para Perdido",IF(Q242&lt;TODAY(),"Atrasado",IF(Q242=TODAY(),"Hoje","No prazo"))))</f>
        <v/>
      </c>
      <c r="S242" s="12"/>
      <c r="T242" s="12"/>
      <c r="U242" s="12"/>
      <c r="V242" s="7"/>
      <c r="W242" s="15" t="str">
        <f aca="true">IF(G242="","",IF(OR(G242="Novo contato",G242="Em conversa"),IF(J242="",TODAY(),J242+1),IF(G242="Avaliação marcada",IF(L242="",TODAY(),L242-1),IF(G242="Proposta enviada",IF(J242="",TODAY(),J242+2),IF(G242="Fechou pacote",IF(J242="",TODAY(),J242+7),IF(G242="Em tratamento",IF(M242="",TODAY(),IF(TODAY()&lt;=M242+1,M242+1,EDATE(M242,6)-30)),IF(G242="Pós-venda",IF(J242="",TODAY(),J242+7),IF(G242="Perdido",IF(J242="",TODAY(),J242+60),""))))))))</f>
        <v/>
      </c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3" t="str">
        <f aca="false">IF(OR(E243="",E243="A completar",E243="Ainda não sabe"),"",IF(OR(E243="Limpeza de pele",E243="Peeling de diamante",E243="Microagulhamento"),"Rosto","Corpo"))</f>
        <v/>
      </c>
      <c r="G243" s="12"/>
      <c r="H243" s="12"/>
      <c r="I243" s="12"/>
      <c r="J243" s="14"/>
      <c r="K243" s="12"/>
      <c r="L243" s="14"/>
      <c r="M243" s="14"/>
      <c r="N243" s="12"/>
      <c r="O243" s="12"/>
      <c r="P243" s="15" t="str">
        <f aca="false">IF(M243="","",EDATE(M243,6))</f>
        <v/>
      </c>
      <c r="Q243" s="15" t="str">
        <f aca="false">IF(W243="","",IF(WEEKDAY(W243)=1,W243+1,W243))</f>
        <v/>
      </c>
      <c r="R243" s="13" t="str">
        <f aca="true">IF(Q243="","",IF(AND(N(K243)&gt;=3,G243&lt;&gt;"Perdido"),"Mover para Perdido",IF(Q243&lt;TODAY(),"Atrasado",IF(Q243=TODAY(),"Hoje","No prazo"))))</f>
        <v/>
      </c>
      <c r="S243" s="12"/>
      <c r="T243" s="12"/>
      <c r="U243" s="12"/>
      <c r="V243" s="7"/>
      <c r="W243" s="15" t="str">
        <f aca="true">IF(G243="","",IF(OR(G243="Novo contato",G243="Em conversa"),IF(J243="",TODAY(),J243+1),IF(G243="Avaliação marcada",IF(L243="",TODAY(),L243-1),IF(G243="Proposta enviada",IF(J243="",TODAY(),J243+2),IF(G243="Fechou pacote",IF(J243="",TODAY(),J243+7),IF(G243="Em tratamento",IF(M243="",TODAY(),IF(TODAY()&lt;=M243+1,M243+1,EDATE(M243,6)-30)),IF(G243="Pós-venda",IF(J243="",TODAY(),J243+7),IF(G243="Perdido",IF(J243="",TODAY(),J243+60),""))))))))</f>
        <v/>
      </c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3" t="str">
        <f aca="false">IF(OR(E244="",E244="A completar",E244="Ainda não sabe"),"",IF(OR(E244="Limpeza de pele",E244="Peeling de diamante",E244="Microagulhamento"),"Rosto","Corpo"))</f>
        <v/>
      </c>
      <c r="G244" s="12"/>
      <c r="H244" s="12"/>
      <c r="I244" s="12"/>
      <c r="J244" s="14"/>
      <c r="K244" s="12"/>
      <c r="L244" s="14"/>
      <c r="M244" s="14"/>
      <c r="N244" s="12"/>
      <c r="O244" s="12"/>
      <c r="P244" s="15" t="str">
        <f aca="false">IF(M244="","",EDATE(M244,6))</f>
        <v/>
      </c>
      <c r="Q244" s="15" t="str">
        <f aca="false">IF(W244="","",IF(WEEKDAY(W244)=1,W244+1,W244))</f>
        <v/>
      </c>
      <c r="R244" s="13" t="str">
        <f aca="true">IF(Q244="","",IF(AND(N(K244)&gt;=3,G244&lt;&gt;"Perdido"),"Mover para Perdido",IF(Q244&lt;TODAY(),"Atrasado",IF(Q244=TODAY(),"Hoje","No prazo"))))</f>
        <v/>
      </c>
      <c r="S244" s="12"/>
      <c r="T244" s="12"/>
      <c r="U244" s="12"/>
      <c r="V244" s="7"/>
      <c r="W244" s="15" t="str">
        <f aca="true">IF(G244="","",IF(OR(G244="Novo contato",G244="Em conversa"),IF(J244="",TODAY(),J244+1),IF(G244="Avaliação marcada",IF(L244="",TODAY(),L244-1),IF(G244="Proposta enviada",IF(J244="",TODAY(),J244+2),IF(G244="Fechou pacote",IF(J244="",TODAY(),J244+7),IF(G244="Em tratamento",IF(M244="",TODAY(),IF(TODAY()&lt;=M244+1,M244+1,EDATE(M244,6)-30)),IF(G244="Pós-venda",IF(J244="",TODAY(),J244+7),IF(G244="Perdido",IF(J244="",TODAY(),J244+60),""))))))))</f>
        <v/>
      </c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3" t="str">
        <f aca="false">IF(OR(E245="",E245="A completar",E245="Ainda não sabe"),"",IF(OR(E245="Limpeza de pele",E245="Peeling de diamante",E245="Microagulhamento"),"Rosto","Corpo"))</f>
        <v/>
      </c>
      <c r="G245" s="12"/>
      <c r="H245" s="12"/>
      <c r="I245" s="12"/>
      <c r="J245" s="14"/>
      <c r="K245" s="12"/>
      <c r="L245" s="14"/>
      <c r="M245" s="14"/>
      <c r="N245" s="12"/>
      <c r="O245" s="12"/>
      <c r="P245" s="15" t="str">
        <f aca="false">IF(M245="","",EDATE(M245,6))</f>
        <v/>
      </c>
      <c r="Q245" s="15" t="str">
        <f aca="false">IF(W245="","",IF(WEEKDAY(W245)=1,W245+1,W245))</f>
        <v/>
      </c>
      <c r="R245" s="13" t="str">
        <f aca="true">IF(Q245="","",IF(AND(N(K245)&gt;=3,G245&lt;&gt;"Perdido"),"Mover para Perdido",IF(Q245&lt;TODAY(),"Atrasado",IF(Q245=TODAY(),"Hoje","No prazo"))))</f>
        <v/>
      </c>
      <c r="S245" s="12"/>
      <c r="T245" s="12"/>
      <c r="U245" s="12"/>
      <c r="V245" s="7"/>
      <c r="W245" s="15" t="str">
        <f aca="true">IF(G245="","",IF(OR(G245="Novo contato",G245="Em conversa"),IF(J245="",TODAY(),J245+1),IF(G245="Avaliação marcada",IF(L245="",TODAY(),L245-1),IF(G245="Proposta enviada",IF(J245="",TODAY(),J245+2),IF(G245="Fechou pacote",IF(J245="",TODAY(),J245+7),IF(G245="Em tratamento",IF(M245="",TODAY(),IF(TODAY()&lt;=M245+1,M245+1,EDATE(M245,6)-30)),IF(G245="Pós-venda",IF(J245="",TODAY(),J245+7),IF(G245="Perdido",IF(J245="",TODAY(),J245+60),""))))))))</f>
        <v/>
      </c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3" t="str">
        <f aca="false">IF(OR(E246="",E246="A completar",E246="Ainda não sabe"),"",IF(OR(E246="Limpeza de pele",E246="Peeling de diamante",E246="Microagulhamento"),"Rosto","Corpo"))</f>
        <v/>
      </c>
      <c r="G246" s="12"/>
      <c r="H246" s="12"/>
      <c r="I246" s="12"/>
      <c r="J246" s="14"/>
      <c r="K246" s="12"/>
      <c r="L246" s="14"/>
      <c r="M246" s="14"/>
      <c r="N246" s="12"/>
      <c r="O246" s="12"/>
      <c r="P246" s="15" t="str">
        <f aca="false">IF(M246="","",EDATE(M246,6))</f>
        <v/>
      </c>
      <c r="Q246" s="15" t="str">
        <f aca="false">IF(W246="","",IF(WEEKDAY(W246)=1,W246+1,W246))</f>
        <v/>
      </c>
      <c r="R246" s="13" t="str">
        <f aca="true">IF(Q246="","",IF(AND(N(K246)&gt;=3,G246&lt;&gt;"Perdido"),"Mover para Perdido",IF(Q246&lt;TODAY(),"Atrasado",IF(Q246=TODAY(),"Hoje","No prazo"))))</f>
        <v/>
      </c>
      <c r="S246" s="12"/>
      <c r="T246" s="12"/>
      <c r="U246" s="12"/>
      <c r="V246" s="7"/>
      <c r="W246" s="15" t="str">
        <f aca="true">IF(G246="","",IF(OR(G246="Novo contato",G246="Em conversa"),IF(J246="",TODAY(),J246+1),IF(G246="Avaliação marcada",IF(L246="",TODAY(),L246-1),IF(G246="Proposta enviada",IF(J246="",TODAY(),J246+2),IF(G246="Fechou pacote",IF(J246="",TODAY(),J246+7),IF(G246="Em tratamento",IF(M246="",TODAY(),IF(TODAY()&lt;=M246+1,M246+1,EDATE(M246,6)-30)),IF(G246="Pós-venda",IF(J246="",TODAY(),J246+7),IF(G246="Perdido",IF(J246="",TODAY(),J246+60),""))))))))</f>
        <v/>
      </c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3" t="str">
        <f aca="false">IF(OR(E247="",E247="A completar",E247="Ainda não sabe"),"",IF(OR(E247="Limpeza de pele",E247="Peeling de diamante",E247="Microagulhamento"),"Rosto","Corpo"))</f>
        <v/>
      </c>
      <c r="G247" s="12"/>
      <c r="H247" s="12"/>
      <c r="I247" s="12"/>
      <c r="J247" s="14"/>
      <c r="K247" s="12"/>
      <c r="L247" s="14"/>
      <c r="M247" s="14"/>
      <c r="N247" s="12"/>
      <c r="O247" s="12"/>
      <c r="P247" s="15" t="str">
        <f aca="false">IF(M247="","",EDATE(M247,6))</f>
        <v/>
      </c>
      <c r="Q247" s="15" t="str">
        <f aca="false">IF(W247="","",IF(WEEKDAY(W247)=1,W247+1,W247))</f>
        <v/>
      </c>
      <c r="R247" s="13" t="str">
        <f aca="true">IF(Q247="","",IF(AND(N(K247)&gt;=3,G247&lt;&gt;"Perdido"),"Mover para Perdido",IF(Q247&lt;TODAY(),"Atrasado",IF(Q247=TODAY(),"Hoje","No prazo"))))</f>
        <v/>
      </c>
      <c r="S247" s="12"/>
      <c r="T247" s="12"/>
      <c r="U247" s="12"/>
      <c r="V247" s="7"/>
      <c r="W247" s="15" t="str">
        <f aca="true">IF(G247="","",IF(OR(G247="Novo contato",G247="Em conversa"),IF(J247="",TODAY(),J247+1),IF(G247="Avaliação marcada",IF(L247="",TODAY(),L247-1),IF(G247="Proposta enviada",IF(J247="",TODAY(),J247+2),IF(G247="Fechou pacote",IF(J247="",TODAY(),J247+7),IF(G247="Em tratamento",IF(M247="",TODAY(),IF(TODAY()&lt;=M247+1,M247+1,EDATE(M247,6)-30)),IF(G247="Pós-venda",IF(J247="",TODAY(),J247+7),IF(G247="Perdido",IF(J247="",TODAY(),J247+60),""))))))))</f>
        <v/>
      </c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3" t="str">
        <f aca="false">IF(OR(E248="",E248="A completar",E248="Ainda não sabe"),"",IF(OR(E248="Limpeza de pele",E248="Peeling de diamante",E248="Microagulhamento"),"Rosto","Corpo"))</f>
        <v/>
      </c>
      <c r="G248" s="12"/>
      <c r="H248" s="12"/>
      <c r="I248" s="12"/>
      <c r="J248" s="14"/>
      <c r="K248" s="12"/>
      <c r="L248" s="14"/>
      <c r="M248" s="14"/>
      <c r="N248" s="12"/>
      <c r="O248" s="12"/>
      <c r="P248" s="15" t="str">
        <f aca="false">IF(M248="","",EDATE(M248,6))</f>
        <v/>
      </c>
      <c r="Q248" s="15" t="str">
        <f aca="false">IF(W248="","",IF(WEEKDAY(W248)=1,W248+1,W248))</f>
        <v/>
      </c>
      <c r="R248" s="13" t="str">
        <f aca="true">IF(Q248="","",IF(AND(N(K248)&gt;=3,G248&lt;&gt;"Perdido"),"Mover para Perdido",IF(Q248&lt;TODAY(),"Atrasado",IF(Q248=TODAY(),"Hoje","No prazo"))))</f>
        <v/>
      </c>
      <c r="S248" s="12"/>
      <c r="T248" s="12"/>
      <c r="U248" s="12"/>
      <c r="V248" s="7"/>
      <c r="W248" s="15" t="str">
        <f aca="true">IF(G248="","",IF(OR(G248="Novo contato",G248="Em conversa"),IF(J248="",TODAY(),J248+1),IF(G248="Avaliação marcada",IF(L248="",TODAY(),L248-1),IF(G248="Proposta enviada",IF(J248="",TODAY(),J248+2),IF(G248="Fechou pacote",IF(J248="",TODAY(),J248+7),IF(G248="Em tratamento",IF(M248="",TODAY(),IF(TODAY()&lt;=M248+1,M248+1,EDATE(M248,6)-30)),IF(G248="Pós-venda",IF(J248="",TODAY(),J248+7),IF(G248="Perdido",IF(J248="",TODAY(),J248+60),""))))))))</f>
        <v/>
      </c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3" t="str">
        <f aca="false">IF(OR(E249="",E249="A completar",E249="Ainda não sabe"),"",IF(OR(E249="Limpeza de pele",E249="Peeling de diamante",E249="Microagulhamento"),"Rosto","Corpo"))</f>
        <v/>
      </c>
      <c r="G249" s="12"/>
      <c r="H249" s="12"/>
      <c r="I249" s="12"/>
      <c r="J249" s="14"/>
      <c r="K249" s="12"/>
      <c r="L249" s="14"/>
      <c r="M249" s="14"/>
      <c r="N249" s="12"/>
      <c r="O249" s="12"/>
      <c r="P249" s="15" t="str">
        <f aca="false">IF(M249="","",EDATE(M249,6))</f>
        <v/>
      </c>
      <c r="Q249" s="15" t="str">
        <f aca="false">IF(W249="","",IF(WEEKDAY(W249)=1,W249+1,W249))</f>
        <v/>
      </c>
      <c r="R249" s="13" t="str">
        <f aca="true">IF(Q249="","",IF(AND(N(K249)&gt;=3,G249&lt;&gt;"Perdido"),"Mover para Perdido",IF(Q249&lt;TODAY(),"Atrasado",IF(Q249=TODAY(),"Hoje","No prazo"))))</f>
        <v/>
      </c>
      <c r="S249" s="12"/>
      <c r="T249" s="12"/>
      <c r="U249" s="12"/>
      <c r="V249" s="7"/>
      <c r="W249" s="15" t="str">
        <f aca="true">IF(G249="","",IF(OR(G249="Novo contato",G249="Em conversa"),IF(J249="",TODAY(),J249+1),IF(G249="Avaliação marcada",IF(L249="",TODAY(),L249-1),IF(G249="Proposta enviada",IF(J249="",TODAY(),J249+2),IF(G249="Fechou pacote",IF(J249="",TODAY(),J249+7),IF(G249="Em tratamento",IF(M249="",TODAY(),IF(TODAY()&lt;=M249+1,M249+1,EDATE(M249,6)-30)),IF(G249="Pós-venda",IF(J249="",TODAY(),J249+7),IF(G249="Perdido",IF(J249="",TODAY(),J249+60),""))))))))</f>
        <v/>
      </c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3" t="str">
        <f aca="false">IF(OR(E250="",E250="A completar",E250="Ainda não sabe"),"",IF(OR(E250="Limpeza de pele",E250="Peeling de diamante",E250="Microagulhamento"),"Rosto","Corpo"))</f>
        <v/>
      </c>
      <c r="G250" s="12"/>
      <c r="H250" s="12"/>
      <c r="I250" s="12"/>
      <c r="J250" s="14"/>
      <c r="K250" s="12"/>
      <c r="L250" s="14"/>
      <c r="M250" s="14"/>
      <c r="N250" s="12"/>
      <c r="O250" s="12"/>
      <c r="P250" s="15" t="str">
        <f aca="false">IF(M250="","",EDATE(M250,6))</f>
        <v/>
      </c>
      <c r="Q250" s="15" t="str">
        <f aca="false">IF(W250="","",IF(WEEKDAY(W250)=1,W250+1,W250))</f>
        <v/>
      </c>
      <c r="R250" s="13" t="str">
        <f aca="true">IF(Q250="","",IF(AND(N(K250)&gt;=3,G250&lt;&gt;"Perdido"),"Mover para Perdido",IF(Q250&lt;TODAY(),"Atrasado",IF(Q250=TODAY(),"Hoje","No prazo"))))</f>
        <v/>
      </c>
      <c r="S250" s="12"/>
      <c r="T250" s="12"/>
      <c r="U250" s="12"/>
      <c r="V250" s="7"/>
      <c r="W250" s="15" t="str">
        <f aca="true">IF(G250="","",IF(OR(G250="Novo contato",G250="Em conversa"),IF(J250="",TODAY(),J250+1),IF(G250="Avaliação marcada",IF(L250="",TODAY(),L250-1),IF(G250="Proposta enviada",IF(J250="",TODAY(),J250+2),IF(G250="Fechou pacote",IF(J250="",TODAY(),J250+7),IF(G250="Em tratamento",IF(M250="",TODAY(),IF(TODAY()&lt;=M250+1,M250+1,EDATE(M250,6)-30)),IF(G250="Pós-venda",IF(J250="",TODAY(),J250+7),IF(G250="Perdido",IF(J250="",TODAY(),J250+60),""))))))))</f>
        <v/>
      </c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3" t="str">
        <f aca="false">IF(OR(E251="",E251="A completar",E251="Ainda não sabe"),"",IF(OR(E251="Limpeza de pele",E251="Peeling de diamante",E251="Microagulhamento"),"Rosto","Corpo"))</f>
        <v/>
      </c>
      <c r="G251" s="12"/>
      <c r="H251" s="12"/>
      <c r="I251" s="12"/>
      <c r="J251" s="14"/>
      <c r="K251" s="12"/>
      <c r="L251" s="14"/>
      <c r="M251" s="14"/>
      <c r="N251" s="12"/>
      <c r="O251" s="12"/>
      <c r="P251" s="15" t="str">
        <f aca="false">IF(M251="","",EDATE(M251,6))</f>
        <v/>
      </c>
      <c r="Q251" s="15" t="str">
        <f aca="false">IF(W251="","",IF(WEEKDAY(W251)=1,W251+1,W251))</f>
        <v/>
      </c>
      <c r="R251" s="13" t="str">
        <f aca="true">IF(Q251="","",IF(AND(N(K251)&gt;=3,G251&lt;&gt;"Perdido"),"Mover para Perdido",IF(Q251&lt;TODAY(),"Atrasado",IF(Q251=TODAY(),"Hoje","No prazo"))))</f>
        <v/>
      </c>
      <c r="S251" s="12"/>
      <c r="T251" s="12"/>
      <c r="U251" s="12"/>
      <c r="V251" s="7"/>
      <c r="W251" s="15" t="str">
        <f aca="true">IF(G251="","",IF(OR(G251="Novo contato",G251="Em conversa"),IF(J251="",TODAY(),J251+1),IF(G251="Avaliação marcada",IF(L251="",TODAY(),L251-1),IF(G251="Proposta enviada",IF(J251="",TODAY(),J251+2),IF(G251="Fechou pacote",IF(J251="",TODAY(),J251+7),IF(G251="Em tratamento",IF(M251="",TODAY(),IF(TODAY()&lt;=M251+1,M251+1,EDATE(M251,6)-30)),IF(G251="Pós-venda",IF(J251="",TODAY(),J251+7),IF(G251="Perdido",IF(J251="",TODAY(),J251+60),""))))))))</f>
        <v/>
      </c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3" t="str">
        <f aca="false">IF(OR(E252="",E252="A completar",E252="Ainda não sabe"),"",IF(OR(E252="Limpeza de pele",E252="Peeling de diamante",E252="Microagulhamento"),"Rosto","Corpo"))</f>
        <v/>
      </c>
      <c r="G252" s="12"/>
      <c r="H252" s="12"/>
      <c r="I252" s="12"/>
      <c r="J252" s="14"/>
      <c r="K252" s="12"/>
      <c r="L252" s="14"/>
      <c r="M252" s="14"/>
      <c r="N252" s="12"/>
      <c r="O252" s="12"/>
      <c r="P252" s="15" t="str">
        <f aca="false">IF(M252="","",EDATE(M252,6))</f>
        <v/>
      </c>
      <c r="Q252" s="15" t="str">
        <f aca="false">IF(W252="","",IF(WEEKDAY(W252)=1,W252+1,W252))</f>
        <v/>
      </c>
      <c r="R252" s="13" t="str">
        <f aca="true">IF(Q252="","",IF(AND(N(K252)&gt;=3,G252&lt;&gt;"Perdido"),"Mover para Perdido",IF(Q252&lt;TODAY(),"Atrasado",IF(Q252=TODAY(),"Hoje","No prazo"))))</f>
        <v/>
      </c>
      <c r="S252" s="12"/>
      <c r="T252" s="12"/>
      <c r="U252" s="12"/>
      <c r="V252" s="7"/>
      <c r="W252" s="15" t="str">
        <f aca="true">IF(G252="","",IF(OR(G252="Novo contato",G252="Em conversa"),IF(J252="",TODAY(),J252+1),IF(G252="Avaliação marcada",IF(L252="",TODAY(),L252-1),IF(G252="Proposta enviada",IF(J252="",TODAY(),J252+2),IF(G252="Fechou pacote",IF(J252="",TODAY(),J252+7),IF(G252="Em tratamento",IF(M252="",TODAY(),IF(TODAY()&lt;=M252+1,M252+1,EDATE(M252,6)-30)),IF(G252="Pós-venda",IF(J252="",TODAY(),J252+7),IF(G252="Perdido",IF(J252="",TODAY(),J252+60),""))))))))</f>
        <v/>
      </c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3" t="str">
        <f aca="false">IF(OR(E253="",E253="A completar",E253="Ainda não sabe"),"",IF(OR(E253="Limpeza de pele",E253="Peeling de diamante",E253="Microagulhamento"),"Rosto","Corpo"))</f>
        <v/>
      </c>
      <c r="G253" s="12"/>
      <c r="H253" s="12"/>
      <c r="I253" s="12"/>
      <c r="J253" s="14"/>
      <c r="K253" s="12"/>
      <c r="L253" s="14"/>
      <c r="M253" s="14"/>
      <c r="N253" s="12"/>
      <c r="O253" s="12"/>
      <c r="P253" s="15" t="str">
        <f aca="false">IF(M253="","",EDATE(M253,6))</f>
        <v/>
      </c>
      <c r="Q253" s="15" t="str">
        <f aca="false">IF(W253="","",IF(WEEKDAY(W253)=1,W253+1,W253))</f>
        <v/>
      </c>
      <c r="R253" s="13" t="str">
        <f aca="true">IF(Q253="","",IF(AND(N(K253)&gt;=3,G253&lt;&gt;"Perdido"),"Mover para Perdido",IF(Q253&lt;TODAY(),"Atrasado",IF(Q253=TODAY(),"Hoje","No prazo"))))</f>
        <v/>
      </c>
      <c r="S253" s="12"/>
      <c r="T253" s="12"/>
      <c r="U253" s="12"/>
      <c r="V253" s="7"/>
      <c r="W253" s="15" t="str">
        <f aca="true">IF(G253="","",IF(OR(G253="Novo contato",G253="Em conversa"),IF(J253="",TODAY(),J253+1),IF(G253="Avaliação marcada",IF(L253="",TODAY(),L253-1),IF(G253="Proposta enviada",IF(J253="",TODAY(),J253+2),IF(G253="Fechou pacote",IF(J253="",TODAY(),J253+7),IF(G253="Em tratamento",IF(M253="",TODAY(),IF(TODAY()&lt;=M253+1,M253+1,EDATE(M253,6)-30)),IF(G253="Pós-venda",IF(J253="",TODAY(),J253+7),IF(G253="Perdido",IF(J253="",TODAY(),J253+60),""))))))))</f>
        <v/>
      </c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3" t="str">
        <f aca="false">IF(OR(E254="",E254="A completar",E254="Ainda não sabe"),"",IF(OR(E254="Limpeza de pele",E254="Peeling de diamante",E254="Microagulhamento"),"Rosto","Corpo"))</f>
        <v/>
      </c>
      <c r="G254" s="12"/>
      <c r="H254" s="12"/>
      <c r="I254" s="12"/>
      <c r="J254" s="14"/>
      <c r="K254" s="12"/>
      <c r="L254" s="14"/>
      <c r="M254" s="14"/>
      <c r="N254" s="12"/>
      <c r="O254" s="12"/>
      <c r="P254" s="15" t="str">
        <f aca="false">IF(M254="","",EDATE(M254,6))</f>
        <v/>
      </c>
      <c r="Q254" s="15" t="str">
        <f aca="false">IF(W254="","",IF(WEEKDAY(W254)=1,W254+1,W254))</f>
        <v/>
      </c>
      <c r="R254" s="13" t="str">
        <f aca="true">IF(Q254="","",IF(AND(N(K254)&gt;=3,G254&lt;&gt;"Perdido"),"Mover para Perdido",IF(Q254&lt;TODAY(),"Atrasado",IF(Q254=TODAY(),"Hoje","No prazo"))))</f>
        <v/>
      </c>
      <c r="S254" s="12"/>
      <c r="T254" s="12"/>
      <c r="U254" s="12"/>
      <c r="V254" s="7"/>
      <c r="W254" s="15" t="str">
        <f aca="true">IF(G254="","",IF(OR(G254="Novo contato",G254="Em conversa"),IF(J254="",TODAY(),J254+1),IF(G254="Avaliação marcada",IF(L254="",TODAY(),L254-1),IF(G254="Proposta enviada",IF(J254="",TODAY(),J254+2),IF(G254="Fechou pacote",IF(J254="",TODAY(),J254+7),IF(G254="Em tratamento",IF(M254="",TODAY(),IF(TODAY()&lt;=M254+1,M254+1,EDATE(M254,6)-30)),IF(G254="Pós-venda",IF(J254="",TODAY(),J254+7),IF(G254="Perdido",IF(J254="",TODAY(),J254+60),""))))))))</f>
        <v/>
      </c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3" t="str">
        <f aca="false">IF(OR(E255="",E255="A completar",E255="Ainda não sabe"),"",IF(OR(E255="Limpeza de pele",E255="Peeling de diamante",E255="Microagulhamento"),"Rosto","Corpo"))</f>
        <v/>
      </c>
      <c r="G255" s="12"/>
      <c r="H255" s="12"/>
      <c r="I255" s="12"/>
      <c r="J255" s="14"/>
      <c r="K255" s="12"/>
      <c r="L255" s="14"/>
      <c r="M255" s="14"/>
      <c r="N255" s="12"/>
      <c r="O255" s="12"/>
      <c r="P255" s="15" t="str">
        <f aca="false">IF(M255="","",EDATE(M255,6))</f>
        <v/>
      </c>
      <c r="Q255" s="15" t="str">
        <f aca="false">IF(W255="","",IF(WEEKDAY(W255)=1,W255+1,W255))</f>
        <v/>
      </c>
      <c r="R255" s="13" t="str">
        <f aca="true">IF(Q255="","",IF(AND(N(K255)&gt;=3,G255&lt;&gt;"Perdido"),"Mover para Perdido",IF(Q255&lt;TODAY(),"Atrasado",IF(Q255=TODAY(),"Hoje","No prazo"))))</f>
        <v/>
      </c>
      <c r="S255" s="12"/>
      <c r="T255" s="12"/>
      <c r="U255" s="12"/>
      <c r="V255" s="7"/>
      <c r="W255" s="15" t="str">
        <f aca="true">IF(G255="","",IF(OR(G255="Novo contato",G255="Em conversa"),IF(J255="",TODAY(),J255+1),IF(G255="Avaliação marcada",IF(L255="",TODAY(),L255-1),IF(G255="Proposta enviada",IF(J255="",TODAY(),J255+2),IF(G255="Fechou pacote",IF(J255="",TODAY(),J255+7),IF(G255="Em tratamento",IF(M255="",TODAY(),IF(TODAY()&lt;=M255+1,M255+1,EDATE(M255,6)-30)),IF(G255="Pós-venda",IF(J255="",TODAY(),J255+7),IF(G255="Perdido",IF(J255="",TODAY(),J255+60),""))))))))</f>
        <v/>
      </c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3" t="str">
        <f aca="false">IF(OR(E256="",E256="A completar",E256="Ainda não sabe"),"",IF(OR(E256="Limpeza de pele",E256="Peeling de diamante",E256="Microagulhamento"),"Rosto","Corpo"))</f>
        <v/>
      </c>
      <c r="G256" s="12"/>
      <c r="H256" s="12"/>
      <c r="I256" s="12"/>
      <c r="J256" s="14"/>
      <c r="K256" s="12"/>
      <c r="L256" s="14"/>
      <c r="M256" s="14"/>
      <c r="N256" s="12"/>
      <c r="O256" s="12"/>
      <c r="P256" s="15" t="str">
        <f aca="false">IF(M256="","",EDATE(M256,6))</f>
        <v/>
      </c>
      <c r="Q256" s="15" t="str">
        <f aca="false">IF(W256="","",IF(WEEKDAY(W256)=1,W256+1,W256))</f>
        <v/>
      </c>
      <c r="R256" s="13" t="str">
        <f aca="true">IF(Q256="","",IF(AND(N(K256)&gt;=3,G256&lt;&gt;"Perdido"),"Mover para Perdido",IF(Q256&lt;TODAY(),"Atrasado",IF(Q256=TODAY(),"Hoje","No prazo"))))</f>
        <v/>
      </c>
      <c r="S256" s="12"/>
      <c r="T256" s="12"/>
      <c r="U256" s="12"/>
      <c r="V256" s="7"/>
      <c r="W256" s="15" t="str">
        <f aca="true">IF(G256="","",IF(OR(G256="Novo contato",G256="Em conversa"),IF(J256="",TODAY(),J256+1),IF(G256="Avaliação marcada",IF(L256="",TODAY(),L256-1),IF(G256="Proposta enviada",IF(J256="",TODAY(),J256+2),IF(G256="Fechou pacote",IF(J256="",TODAY(),J256+7),IF(G256="Em tratamento",IF(M256="",TODAY(),IF(TODAY()&lt;=M256+1,M256+1,EDATE(M256,6)-30)),IF(G256="Pós-venda",IF(J256="",TODAY(),J256+7),IF(G256="Perdido",IF(J256="",TODAY(),J256+60),""))))))))</f>
        <v/>
      </c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3" t="str">
        <f aca="false">IF(OR(E257="",E257="A completar",E257="Ainda não sabe"),"",IF(OR(E257="Limpeza de pele",E257="Peeling de diamante",E257="Microagulhamento"),"Rosto","Corpo"))</f>
        <v/>
      </c>
      <c r="G257" s="12"/>
      <c r="H257" s="12"/>
      <c r="I257" s="12"/>
      <c r="J257" s="14"/>
      <c r="K257" s="12"/>
      <c r="L257" s="14"/>
      <c r="M257" s="14"/>
      <c r="N257" s="12"/>
      <c r="O257" s="12"/>
      <c r="P257" s="15" t="str">
        <f aca="false">IF(M257="","",EDATE(M257,6))</f>
        <v/>
      </c>
      <c r="Q257" s="15" t="str">
        <f aca="false">IF(W257="","",IF(WEEKDAY(W257)=1,W257+1,W257))</f>
        <v/>
      </c>
      <c r="R257" s="13" t="str">
        <f aca="true">IF(Q257="","",IF(AND(N(K257)&gt;=3,G257&lt;&gt;"Perdido"),"Mover para Perdido",IF(Q257&lt;TODAY(),"Atrasado",IF(Q257=TODAY(),"Hoje","No prazo"))))</f>
        <v/>
      </c>
      <c r="S257" s="12"/>
      <c r="T257" s="12"/>
      <c r="U257" s="12"/>
      <c r="V257" s="7"/>
      <c r="W257" s="15" t="str">
        <f aca="true">IF(G257="","",IF(OR(G257="Novo contato",G257="Em conversa"),IF(J257="",TODAY(),J257+1),IF(G257="Avaliação marcada",IF(L257="",TODAY(),L257-1),IF(G257="Proposta enviada",IF(J257="",TODAY(),J257+2),IF(G257="Fechou pacote",IF(J257="",TODAY(),J257+7),IF(G257="Em tratamento",IF(M257="",TODAY(),IF(TODAY()&lt;=M257+1,M257+1,EDATE(M257,6)-30)),IF(G257="Pós-venda",IF(J257="",TODAY(),J257+7),IF(G257="Perdido",IF(J257="",TODAY(),J257+60),""))))))))</f>
        <v/>
      </c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3" t="str">
        <f aca="false">IF(OR(E258="",E258="A completar",E258="Ainda não sabe"),"",IF(OR(E258="Limpeza de pele",E258="Peeling de diamante",E258="Microagulhamento"),"Rosto","Corpo"))</f>
        <v/>
      </c>
      <c r="G258" s="12"/>
      <c r="H258" s="12"/>
      <c r="I258" s="12"/>
      <c r="J258" s="14"/>
      <c r="K258" s="12"/>
      <c r="L258" s="14"/>
      <c r="M258" s="14"/>
      <c r="N258" s="12"/>
      <c r="O258" s="12"/>
      <c r="P258" s="15" t="str">
        <f aca="false">IF(M258="","",EDATE(M258,6))</f>
        <v/>
      </c>
      <c r="Q258" s="15" t="str">
        <f aca="false">IF(W258="","",IF(WEEKDAY(W258)=1,W258+1,W258))</f>
        <v/>
      </c>
      <c r="R258" s="13" t="str">
        <f aca="true">IF(Q258="","",IF(AND(N(K258)&gt;=3,G258&lt;&gt;"Perdido"),"Mover para Perdido",IF(Q258&lt;TODAY(),"Atrasado",IF(Q258=TODAY(),"Hoje","No prazo"))))</f>
        <v/>
      </c>
      <c r="S258" s="12"/>
      <c r="T258" s="12"/>
      <c r="U258" s="12"/>
      <c r="V258" s="7"/>
      <c r="W258" s="15" t="str">
        <f aca="true">IF(G258="","",IF(OR(G258="Novo contato",G258="Em conversa"),IF(J258="",TODAY(),J258+1),IF(G258="Avaliação marcada",IF(L258="",TODAY(),L258-1),IF(G258="Proposta enviada",IF(J258="",TODAY(),J258+2),IF(G258="Fechou pacote",IF(J258="",TODAY(),J258+7),IF(G258="Em tratamento",IF(M258="",TODAY(),IF(TODAY()&lt;=M258+1,M258+1,EDATE(M258,6)-30)),IF(G258="Pós-venda",IF(J258="",TODAY(),J258+7),IF(G258="Perdido",IF(J258="",TODAY(),J258+60),""))))))))</f>
        <v/>
      </c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3" t="str">
        <f aca="false">IF(OR(E259="",E259="A completar",E259="Ainda não sabe"),"",IF(OR(E259="Limpeza de pele",E259="Peeling de diamante",E259="Microagulhamento"),"Rosto","Corpo"))</f>
        <v/>
      </c>
      <c r="G259" s="12"/>
      <c r="H259" s="12"/>
      <c r="I259" s="12"/>
      <c r="J259" s="14"/>
      <c r="K259" s="12"/>
      <c r="L259" s="14"/>
      <c r="M259" s="14"/>
      <c r="N259" s="12"/>
      <c r="O259" s="12"/>
      <c r="P259" s="15" t="str">
        <f aca="false">IF(M259="","",EDATE(M259,6))</f>
        <v/>
      </c>
      <c r="Q259" s="15" t="str">
        <f aca="false">IF(W259="","",IF(WEEKDAY(W259)=1,W259+1,W259))</f>
        <v/>
      </c>
      <c r="R259" s="13" t="str">
        <f aca="true">IF(Q259="","",IF(AND(N(K259)&gt;=3,G259&lt;&gt;"Perdido"),"Mover para Perdido",IF(Q259&lt;TODAY(),"Atrasado",IF(Q259=TODAY(),"Hoje","No prazo"))))</f>
        <v/>
      </c>
      <c r="S259" s="12"/>
      <c r="T259" s="12"/>
      <c r="U259" s="12"/>
      <c r="V259" s="7"/>
      <c r="W259" s="15" t="str">
        <f aca="true">IF(G259="","",IF(OR(G259="Novo contato",G259="Em conversa"),IF(J259="",TODAY(),J259+1),IF(G259="Avaliação marcada",IF(L259="",TODAY(),L259-1),IF(G259="Proposta enviada",IF(J259="",TODAY(),J259+2),IF(G259="Fechou pacote",IF(J259="",TODAY(),J259+7),IF(G259="Em tratamento",IF(M259="",TODAY(),IF(TODAY()&lt;=M259+1,M259+1,EDATE(M259,6)-30)),IF(G259="Pós-venda",IF(J259="",TODAY(),J259+7),IF(G259="Perdido",IF(J259="",TODAY(),J259+60),""))))))))</f>
        <v/>
      </c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3" t="str">
        <f aca="false">IF(OR(E260="",E260="A completar",E260="Ainda não sabe"),"",IF(OR(E260="Limpeza de pele",E260="Peeling de diamante",E260="Microagulhamento"),"Rosto","Corpo"))</f>
        <v/>
      </c>
      <c r="G260" s="12"/>
      <c r="H260" s="12"/>
      <c r="I260" s="12"/>
      <c r="J260" s="14"/>
      <c r="K260" s="12"/>
      <c r="L260" s="14"/>
      <c r="M260" s="14"/>
      <c r="N260" s="12"/>
      <c r="O260" s="12"/>
      <c r="P260" s="15" t="str">
        <f aca="false">IF(M260="","",EDATE(M260,6))</f>
        <v/>
      </c>
      <c r="Q260" s="15" t="str">
        <f aca="false">IF(W260="","",IF(WEEKDAY(W260)=1,W260+1,W260))</f>
        <v/>
      </c>
      <c r="R260" s="13" t="str">
        <f aca="true">IF(Q260="","",IF(AND(N(K260)&gt;=3,G260&lt;&gt;"Perdido"),"Mover para Perdido",IF(Q260&lt;TODAY(),"Atrasado",IF(Q260=TODAY(),"Hoje","No prazo"))))</f>
        <v/>
      </c>
      <c r="S260" s="12"/>
      <c r="T260" s="12"/>
      <c r="U260" s="12"/>
      <c r="V260" s="7"/>
      <c r="W260" s="15" t="str">
        <f aca="true">IF(G260="","",IF(OR(G260="Novo contato",G260="Em conversa"),IF(J260="",TODAY(),J260+1),IF(G260="Avaliação marcada",IF(L260="",TODAY(),L260-1),IF(G260="Proposta enviada",IF(J260="",TODAY(),J260+2),IF(G260="Fechou pacote",IF(J260="",TODAY(),J260+7),IF(G260="Em tratamento",IF(M260="",TODAY(),IF(TODAY()&lt;=M260+1,M260+1,EDATE(M260,6)-30)),IF(G260="Pós-venda",IF(J260="",TODAY(),J260+7),IF(G260="Perdido",IF(J260="",TODAY(),J260+60),""))))))))</f>
        <v/>
      </c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3" t="str">
        <f aca="false">IF(OR(E261="",E261="A completar",E261="Ainda não sabe"),"",IF(OR(E261="Limpeza de pele",E261="Peeling de diamante",E261="Microagulhamento"),"Rosto","Corpo"))</f>
        <v/>
      </c>
      <c r="G261" s="12"/>
      <c r="H261" s="12"/>
      <c r="I261" s="12"/>
      <c r="J261" s="14"/>
      <c r="K261" s="12"/>
      <c r="L261" s="14"/>
      <c r="M261" s="14"/>
      <c r="N261" s="12"/>
      <c r="O261" s="12"/>
      <c r="P261" s="15" t="str">
        <f aca="false">IF(M261="","",EDATE(M261,6))</f>
        <v/>
      </c>
      <c r="Q261" s="15" t="str">
        <f aca="false">IF(W261="","",IF(WEEKDAY(W261)=1,W261+1,W261))</f>
        <v/>
      </c>
      <c r="R261" s="13" t="str">
        <f aca="true">IF(Q261="","",IF(AND(N(K261)&gt;=3,G261&lt;&gt;"Perdido"),"Mover para Perdido",IF(Q261&lt;TODAY(),"Atrasado",IF(Q261=TODAY(),"Hoje","No prazo"))))</f>
        <v/>
      </c>
      <c r="S261" s="12"/>
      <c r="T261" s="12"/>
      <c r="U261" s="12"/>
      <c r="V261" s="7"/>
      <c r="W261" s="15" t="str">
        <f aca="true">IF(G261="","",IF(OR(G261="Novo contato",G261="Em conversa"),IF(J261="",TODAY(),J261+1),IF(G261="Avaliação marcada",IF(L261="",TODAY(),L261-1),IF(G261="Proposta enviada",IF(J261="",TODAY(),J261+2),IF(G261="Fechou pacote",IF(J261="",TODAY(),J261+7),IF(G261="Em tratamento",IF(M261="",TODAY(),IF(TODAY()&lt;=M261+1,M261+1,EDATE(M261,6)-30)),IF(G261="Pós-venda",IF(J261="",TODAY(),J261+7),IF(G261="Perdido",IF(J261="",TODAY(),J261+60),""))))))))</f>
        <v/>
      </c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3" t="str">
        <f aca="false">IF(OR(E262="",E262="A completar",E262="Ainda não sabe"),"",IF(OR(E262="Limpeza de pele",E262="Peeling de diamante",E262="Microagulhamento"),"Rosto","Corpo"))</f>
        <v/>
      </c>
      <c r="G262" s="12"/>
      <c r="H262" s="12"/>
      <c r="I262" s="12"/>
      <c r="J262" s="14"/>
      <c r="K262" s="12"/>
      <c r="L262" s="14"/>
      <c r="M262" s="14"/>
      <c r="N262" s="12"/>
      <c r="O262" s="12"/>
      <c r="P262" s="15" t="str">
        <f aca="false">IF(M262="","",EDATE(M262,6))</f>
        <v/>
      </c>
      <c r="Q262" s="15" t="str">
        <f aca="false">IF(W262="","",IF(WEEKDAY(W262)=1,W262+1,W262))</f>
        <v/>
      </c>
      <c r="R262" s="13" t="str">
        <f aca="true">IF(Q262="","",IF(AND(N(K262)&gt;=3,G262&lt;&gt;"Perdido"),"Mover para Perdido",IF(Q262&lt;TODAY(),"Atrasado",IF(Q262=TODAY(),"Hoje","No prazo"))))</f>
        <v/>
      </c>
      <c r="S262" s="12"/>
      <c r="T262" s="12"/>
      <c r="U262" s="12"/>
      <c r="V262" s="7"/>
      <c r="W262" s="15" t="str">
        <f aca="true">IF(G262="","",IF(OR(G262="Novo contato",G262="Em conversa"),IF(J262="",TODAY(),J262+1),IF(G262="Avaliação marcada",IF(L262="",TODAY(),L262-1),IF(G262="Proposta enviada",IF(J262="",TODAY(),J262+2),IF(G262="Fechou pacote",IF(J262="",TODAY(),J262+7),IF(G262="Em tratamento",IF(M262="",TODAY(),IF(TODAY()&lt;=M262+1,M262+1,EDATE(M262,6)-30)),IF(G262="Pós-venda",IF(J262="",TODAY(),J262+7),IF(G262="Perdido",IF(J262="",TODAY(),J262+60),""))))))))</f>
        <v/>
      </c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3" t="str">
        <f aca="false">IF(OR(E263="",E263="A completar",E263="Ainda não sabe"),"",IF(OR(E263="Limpeza de pele",E263="Peeling de diamante",E263="Microagulhamento"),"Rosto","Corpo"))</f>
        <v/>
      </c>
      <c r="G263" s="12"/>
      <c r="H263" s="12"/>
      <c r="I263" s="12"/>
      <c r="J263" s="14"/>
      <c r="K263" s="12"/>
      <c r="L263" s="14"/>
      <c r="M263" s="14"/>
      <c r="N263" s="12"/>
      <c r="O263" s="12"/>
      <c r="P263" s="15" t="str">
        <f aca="false">IF(M263="","",EDATE(M263,6))</f>
        <v/>
      </c>
      <c r="Q263" s="15" t="str">
        <f aca="false">IF(W263="","",IF(WEEKDAY(W263)=1,W263+1,W263))</f>
        <v/>
      </c>
      <c r="R263" s="13" t="str">
        <f aca="true">IF(Q263="","",IF(AND(N(K263)&gt;=3,G263&lt;&gt;"Perdido"),"Mover para Perdido",IF(Q263&lt;TODAY(),"Atrasado",IF(Q263=TODAY(),"Hoje","No prazo"))))</f>
        <v/>
      </c>
      <c r="S263" s="12"/>
      <c r="T263" s="12"/>
      <c r="U263" s="12"/>
      <c r="V263" s="7"/>
      <c r="W263" s="15" t="str">
        <f aca="true">IF(G263="","",IF(OR(G263="Novo contato",G263="Em conversa"),IF(J263="",TODAY(),J263+1),IF(G263="Avaliação marcada",IF(L263="",TODAY(),L263-1),IF(G263="Proposta enviada",IF(J263="",TODAY(),J263+2),IF(G263="Fechou pacote",IF(J263="",TODAY(),J263+7),IF(G263="Em tratamento",IF(M263="",TODAY(),IF(TODAY()&lt;=M263+1,M263+1,EDATE(M263,6)-30)),IF(G263="Pós-venda",IF(J263="",TODAY(),J263+7),IF(G263="Perdido",IF(J263="",TODAY(),J263+60),""))))))))</f>
        <v/>
      </c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3" t="str">
        <f aca="false">IF(OR(E264="",E264="A completar",E264="Ainda não sabe"),"",IF(OR(E264="Limpeza de pele",E264="Peeling de diamante",E264="Microagulhamento"),"Rosto","Corpo"))</f>
        <v/>
      </c>
      <c r="G264" s="12"/>
      <c r="H264" s="12"/>
      <c r="I264" s="12"/>
      <c r="J264" s="14"/>
      <c r="K264" s="12"/>
      <c r="L264" s="14"/>
      <c r="M264" s="14"/>
      <c r="N264" s="12"/>
      <c r="O264" s="12"/>
      <c r="P264" s="15" t="str">
        <f aca="false">IF(M264="","",EDATE(M264,6))</f>
        <v/>
      </c>
      <c r="Q264" s="15" t="str">
        <f aca="false">IF(W264="","",IF(WEEKDAY(W264)=1,W264+1,W264))</f>
        <v/>
      </c>
      <c r="R264" s="13" t="str">
        <f aca="true">IF(Q264="","",IF(AND(N(K264)&gt;=3,G264&lt;&gt;"Perdido"),"Mover para Perdido",IF(Q264&lt;TODAY(),"Atrasado",IF(Q264=TODAY(),"Hoje","No prazo"))))</f>
        <v/>
      </c>
      <c r="S264" s="12"/>
      <c r="T264" s="12"/>
      <c r="U264" s="12"/>
      <c r="V264" s="7"/>
      <c r="W264" s="15" t="str">
        <f aca="true">IF(G264="","",IF(OR(G264="Novo contato",G264="Em conversa"),IF(J264="",TODAY(),J264+1),IF(G264="Avaliação marcada",IF(L264="",TODAY(),L264-1),IF(G264="Proposta enviada",IF(J264="",TODAY(),J264+2),IF(G264="Fechou pacote",IF(J264="",TODAY(),J264+7),IF(G264="Em tratamento",IF(M264="",TODAY(),IF(TODAY()&lt;=M264+1,M264+1,EDATE(M264,6)-30)),IF(G264="Pós-venda",IF(J264="",TODAY(),J264+7),IF(G264="Perdido",IF(J264="",TODAY(),J264+60),""))))))))</f>
        <v/>
      </c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3" t="str">
        <f aca="false">IF(OR(E265="",E265="A completar",E265="Ainda não sabe"),"",IF(OR(E265="Limpeza de pele",E265="Peeling de diamante",E265="Microagulhamento"),"Rosto","Corpo"))</f>
        <v/>
      </c>
      <c r="G265" s="12"/>
      <c r="H265" s="12"/>
      <c r="I265" s="12"/>
      <c r="J265" s="14"/>
      <c r="K265" s="12"/>
      <c r="L265" s="14"/>
      <c r="M265" s="14"/>
      <c r="N265" s="12"/>
      <c r="O265" s="12"/>
      <c r="P265" s="15" t="str">
        <f aca="false">IF(M265="","",EDATE(M265,6))</f>
        <v/>
      </c>
      <c r="Q265" s="15" t="str">
        <f aca="false">IF(W265="","",IF(WEEKDAY(W265)=1,W265+1,W265))</f>
        <v/>
      </c>
      <c r="R265" s="13" t="str">
        <f aca="true">IF(Q265="","",IF(AND(N(K265)&gt;=3,G265&lt;&gt;"Perdido"),"Mover para Perdido",IF(Q265&lt;TODAY(),"Atrasado",IF(Q265=TODAY(),"Hoje","No prazo"))))</f>
        <v/>
      </c>
      <c r="S265" s="12"/>
      <c r="T265" s="12"/>
      <c r="U265" s="12"/>
      <c r="V265" s="7"/>
      <c r="W265" s="15" t="str">
        <f aca="true">IF(G265="","",IF(OR(G265="Novo contato",G265="Em conversa"),IF(J265="",TODAY(),J265+1),IF(G265="Avaliação marcada",IF(L265="",TODAY(),L265-1),IF(G265="Proposta enviada",IF(J265="",TODAY(),J265+2),IF(G265="Fechou pacote",IF(J265="",TODAY(),J265+7),IF(G265="Em tratamento",IF(M265="",TODAY(),IF(TODAY()&lt;=M265+1,M265+1,EDATE(M265,6)-30)),IF(G265="Pós-venda",IF(J265="",TODAY(),J265+7),IF(G265="Perdido",IF(J265="",TODAY(),J265+60),""))))))))</f>
        <v/>
      </c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3" t="str">
        <f aca="false">IF(OR(E266="",E266="A completar",E266="Ainda não sabe"),"",IF(OR(E266="Limpeza de pele",E266="Peeling de diamante",E266="Microagulhamento"),"Rosto","Corpo"))</f>
        <v/>
      </c>
      <c r="G266" s="12"/>
      <c r="H266" s="12"/>
      <c r="I266" s="12"/>
      <c r="J266" s="14"/>
      <c r="K266" s="12"/>
      <c r="L266" s="14"/>
      <c r="M266" s="14"/>
      <c r="N266" s="12"/>
      <c r="O266" s="12"/>
      <c r="P266" s="15" t="str">
        <f aca="false">IF(M266="","",EDATE(M266,6))</f>
        <v/>
      </c>
      <c r="Q266" s="15" t="str">
        <f aca="false">IF(W266="","",IF(WEEKDAY(W266)=1,W266+1,W266))</f>
        <v/>
      </c>
      <c r="R266" s="13" t="str">
        <f aca="true">IF(Q266="","",IF(AND(N(K266)&gt;=3,G266&lt;&gt;"Perdido"),"Mover para Perdido",IF(Q266&lt;TODAY(),"Atrasado",IF(Q266=TODAY(),"Hoje","No prazo"))))</f>
        <v/>
      </c>
      <c r="S266" s="12"/>
      <c r="T266" s="12"/>
      <c r="U266" s="12"/>
      <c r="V266" s="7"/>
      <c r="W266" s="15" t="str">
        <f aca="true">IF(G266="","",IF(OR(G266="Novo contato",G266="Em conversa"),IF(J266="",TODAY(),J266+1),IF(G266="Avaliação marcada",IF(L266="",TODAY(),L266-1),IF(G266="Proposta enviada",IF(J266="",TODAY(),J266+2),IF(G266="Fechou pacote",IF(J266="",TODAY(),J266+7),IF(G266="Em tratamento",IF(M266="",TODAY(),IF(TODAY()&lt;=M266+1,M266+1,EDATE(M266,6)-30)),IF(G266="Pós-venda",IF(J266="",TODAY(),J266+7),IF(G266="Perdido",IF(J266="",TODAY(),J266+60),""))))))))</f>
        <v/>
      </c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3" t="str">
        <f aca="false">IF(OR(E267="",E267="A completar",E267="Ainda não sabe"),"",IF(OR(E267="Limpeza de pele",E267="Peeling de diamante",E267="Microagulhamento"),"Rosto","Corpo"))</f>
        <v/>
      </c>
      <c r="G267" s="12"/>
      <c r="H267" s="12"/>
      <c r="I267" s="12"/>
      <c r="J267" s="14"/>
      <c r="K267" s="12"/>
      <c r="L267" s="14"/>
      <c r="M267" s="14"/>
      <c r="N267" s="12"/>
      <c r="O267" s="12"/>
      <c r="P267" s="15" t="str">
        <f aca="false">IF(M267="","",EDATE(M267,6))</f>
        <v/>
      </c>
      <c r="Q267" s="15" t="str">
        <f aca="false">IF(W267="","",IF(WEEKDAY(W267)=1,W267+1,W267))</f>
        <v/>
      </c>
      <c r="R267" s="13" t="str">
        <f aca="true">IF(Q267="","",IF(AND(N(K267)&gt;=3,G267&lt;&gt;"Perdido"),"Mover para Perdido",IF(Q267&lt;TODAY(),"Atrasado",IF(Q267=TODAY(),"Hoje","No prazo"))))</f>
        <v/>
      </c>
      <c r="S267" s="12"/>
      <c r="T267" s="12"/>
      <c r="U267" s="12"/>
      <c r="V267" s="7"/>
      <c r="W267" s="15" t="str">
        <f aca="true">IF(G267="","",IF(OR(G267="Novo contato",G267="Em conversa"),IF(J267="",TODAY(),J267+1),IF(G267="Avaliação marcada",IF(L267="",TODAY(),L267-1),IF(G267="Proposta enviada",IF(J267="",TODAY(),J267+2),IF(G267="Fechou pacote",IF(J267="",TODAY(),J267+7),IF(G267="Em tratamento",IF(M267="",TODAY(),IF(TODAY()&lt;=M267+1,M267+1,EDATE(M267,6)-30)),IF(G267="Pós-venda",IF(J267="",TODAY(),J267+7),IF(G267="Perdido",IF(J267="",TODAY(),J267+60),""))))))))</f>
        <v/>
      </c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3" t="str">
        <f aca="false">IF(OR(E268="",E268="A completar",E268="Ainda não sabe"),"",IF(OR(E268="Limpeza de pele",E268="Peeling de diamante",E268="Microagulhamento"),"Rosto","Corpo"))</f>
        <v/>
      </c>
      <c r="G268" s="12"/>
      <c r="H268" s="12"/>
      <c r="I268" s="12"/>
      <c r="J268" s="14"/>
      <c r="K268" s="12"/>
      <c r="L268" s="14"/>
      <c r="M268" s="14"/>
      <c r="N268" s="12"/>
      <c r="O268" s="12"/>
      <c r="P268" s="15" t="str">
        <f aca="false">IF(M268="","",EDATE(M268,6))</f>
        <v/>
      </c>
      <c r="Q268" s="15" t="str">
        <f aca="false">IF(W268="","",IF(WEEKDAY(W268)=1,W268+1,W268))</f>
        <v/>
      </c>
      <c r="R268" s="13" t="str">
        <f aca="true">IF(Q268="","",IF(AND(N(K268)&gt;=3,G268&lt;&gt;"Perdido"),"Mover para Perdido",IF(Q268&lt;TODAY(),"Atrasado",IF(Q268=TODAY(),"Hoje","No prazo"))))</f>
        <v/>
      </c>
      <c r="S268" s="12"/>
      <c r="T268" s="12"/>
      <c r="U268" s="12"/>
      <c r="V268" s="7"/>
      <c r="W268" s="15" t="str">
        <f aca="true">IF(G268="","",IF(OR(G268="Novo contato",G268="Em conversa"),IF(J268="",TODAY(),J268+1),IF(G268="Avaliação marcada",IF(L268="",TODAY(),L268-1),IF(G268="Proposta enviada",IF(J268="",TODAY(),J268+2),IF(G268="Fechou pacote",IF(J268="",TODAY(),J268+7),IF(G268="Em tratamento",IF(M268="",TODAY(),IF(TODAY()&lt;=M268+1,M268+1,EDATE(M268,6)-30)),IF(G268="Pós-venda",IF(J268="",TODAY(),J268+7),IF(G268="Perdido",IF(J268="",TODAY(),J268+60),""))))))))</f>
        <v/>
      </c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3" t="str">
        <f aca="false">IF(OR(E269="",E269="A completar",E269="Ainda não sabe"),"",IF(OR(E269="Limpeza de pele",E269="Peeling de diamante",E269="Microagulhamento"),"Rosto","Corpo"))</f>
        <v/>
      </c>
      <c r="G269" s="12"/>
      <c r="H269" s="12"/>
      <c r="I269" s="12"/>
      <c r="J269" s="14"/>
      <c r="K269" s="12"/>
      <c r="L269" s="14"/>
      <c r="M269" s="14"/>
      <c r="N269" s="12"/>
      <c r="O269" s="12"/>
      <c r="P269" s="15" t="str">
        <f aca="false">IF(M269="","",EDATE(M269,6))</f>
        <v/>
      </c>
      <c r="Q269" s="15" t="str">
        <f aca="false">IF(W269="","",IF(WEEKDAY(W269)=1,W269+1,W269))</f>
        <v/>
      </c>
      <c r="R269" s="13" t="str">
        <f aca="true">IF(Q269="","",IF(AND(N(K269)&gt;=3,G269&lt;&gt;"Perdido"),"Mover para Perdido",IF(Q269&lt;TODAY(),"Atrasado",IF(Q269=TODAY(),"Hoje","No prazo"))))</f>
        <v/>
      </c>
      <c r="S269" s="12"/>
      <c r="T269" s="12"/>
      <c r="U269" s="12"/>
      <c r="V269" s="7"/>
      <c r="W269" s="15" t="str">
        <f aca="true">IF(G269="","",IF(OR(G269="Novo contato",G269="Em conversa"),IF(J269="",TODAY(),J269+1),IF(G269="Avaliação marcada",IF(L269="",TODAY(),L269-1),IF(G269="Proposta enviada",IF(J269="",TODAY(),J269+2),IF(G269="Fechou pacote",IF(J269="",TODAY(),J269+7),IF(G269="Em tratamento",IF(M269="",TODAY(),IF(TODAY()&lt;=M269+1,M269+1,EDATE(M269,6)-30)),IF(G269="Pós-venda",IF(J269="",TODAY(),J269+7),IF(G269="Perdido",IF(J269="",TODAY(),J269+60),""))))))))</f>
        <v/>
      </c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3" t="str">
        <f aca="false">IF(OR(E270="",E270="A completar",E270="Ainda não sabe"),"",IF(OR(E270="Limpeza de pele",E270="Peeling de diamante",E270="Microagulhamento"),"Rosto","Corpo"))</f>
        <v/>
      </c>
      <c r="G270" s="12"/>
      <c r="H270" s="12"/>
      <c r="I270" s="12"/>
      <c r="J270" s="14"/>
      <c r="K270" s="12"/>
      <c r="L270" s="14"/>
      <c r="M270" s="14"/>
      <c r="N270" s="12"/>
      <c r="O270" s="12"/>
      <c r="P270" s="15" t="str">
        <f aca="false">IF(M270="","",EDATE(M270,6))</f>
        <v/>
      </c>
      <c r="Q270" s="15" t="str">
        <f aca="false">IF(W270="","",IF(WEEKDAY(W270)=1,W270+1,W270))</f>
        <v/>
      </c>
      <c r="R270" s="13" t="str">
        <f aca="true">IF(Q270="","",IF(AND(N(K270)&gt;=3,G270&lt;&gt;"Perdido"),"Mover para Perdido",IF(Q270&lt;TODAY(),"Atrasado",IF(Q270=TODAY(),"Hoje","No prazo"))))</f>
        <v/>
      </c>
      <c r="S270" s="12"/>
      <c r="T270" s="12"/>
      <c r="U270" s="12"/>
      <c r="V270" s="7"/>
      <c r="W270" s="15" t="str">
        <f aca="true">IF(G270="","",IF(OR(G270="Novo contato",G270="Em conversa"),IF(J270="",TODAY(),J270+1),IF(G270="Avaliação marcada",IF(L270="",TODAY(),L270-1),IF(G270="Proposta enviada",IF(J270="",TODAY(),J270+2),IF(G270="Fechou pacote",IF(J270="",TODAY(),J270+7),IF(G270="Em tratamento",IF(M270="",TODAY(),IF(TODAY()&lt;=M270+1,M270+1,EDATE(M270,6)-30)),IF(G270="Pós-venda",IF(J270="",TODAY(),J270+7),IF(G270="Perdido",IF(J270="",TODAY(),J270+60),""))))))))</f>
        <v/>
      </c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3" t="str">
        <f aca="false">IF(OR(E271="",E271="A completar",E271="Ainda não sabe"),"",IF(OR(E271="Limpeza de pele",E271="Peeling de diamante",E271="Microagulhamento"),"Rosto","Corpo"))</f>
        <v/>
      </c>
      <c r="G271" s="12"/>
      <c r="H271" s="12"/>
      <c r="I271" s="12"/>
      <c r="J271" s="14"/>
      <c r="K271" s="12"/>
      <c r="L271" s="14"/>
      <c r="M271" s="14"/>
      <c r="N271" s="12"/>
      <c r="O271" s="12"/>
      <c r="P271" s="15" t="str">
        <f aca="false">IF(M271="","",EDATE(M271,6))</f>
        <v/>
      </c>
      <c r="Q271" s="15" t="str">
        <f aca="false">IF(W271="","",IF(WEEKDAY(W271)=1,W271+1,W271))</f>
        <v/>
      </c>
      <c r="R271" s="13" t="str">
        <f aca="true">IF(Q271="","",IF(AND(N(K271)&gt;=3,G271&lt;&gt;"Perdido"),"Mover para Perdido",IF(Q271&lt;TODAY(),"Atrasado",IF(Q271=TODAY(),"Hoje","No prazo"))))</f>
        <v/>
      </c>
      <c r="S271" s="12"/>
      <c r="T271" s="12"/>
      <c r="U271" s="12"/>
      <c r="V271" s="7"/>
      <c r="W271" s="15" t="str">
        <f aca="true">IF(G271="","",IF(OR(G271="Novo contato",G271="Em conversa"),IF(J271="",TODAY(),J271+1),IF(G271="Avaliação marcada",IF(L271="",TODAY(),L271-1),IF(G271="Proposta enviada",IF(J271="",TODAY(),J271+2),IF(G271="Fechou pacote",IF(J271="",TODAY(),J271+7),IF(G271="Em tratamento",IF(M271="",TODAY(),IF(TODAY()&lt;=M271+1,M271+1,EDATE(M271,6)-30)),IF(G271="Pós-venda",IF(J271="",TODAY(),J271+7),IF(G271="Perdido",IF(J271="",TODAY(),J271+60),""))))))))</f>
        <v/>
      </c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3" t="str">
        <f aca="false">IF(OR(E272="",E272="A completar",E272="Ainda não sabe"),"",IF(OR(E272="Limpeza de pele",E272="Peeling de diamante",E272="Microagulhamento"),"Rosto","Corpo"))</f>
        <v/>
      </c>
      <c r="G272" s="12"/>
      <c r="H272" s="12"/>
      <c r="I272" s="12"/>
      <c r="J272" s="14"/>
      <c r="K272" s="12"/>
      <c r="L272" s="14"/>
      <c r="M272" s="14"/>
      <c r="N272" s="12"/>
      <c r="O272" s="12"/>
      <c r="P272" s="15" t="str">
        <f aca="false">IF(M272="","",EDATE(M272,6))</f>
        <v/>
      </c>
      <c r="Q272" s="15" t="str">
        <f aca="false">IF(W272="","",IF(WEEKDAY(W272)=1,W272+1,W272))</f>
        <v/>
      </c>
      <c r="R272" s="13" t="str">
        <f aca="true">IF(Q272="","",IF(AND(N(K272)&gt;=3,G272&lt;&gt;"Perdido"),"Mover para Perdido",IF(Q272&lt;TODAY(),"Atrasado",IF(Q272=TODAY(),"Hoje","No prazo"))))</f>
        <v/>
      </c>
      <c r="S272" s="12"/>
      <c r="T272" s="12"/>
      <c r="U272" s="12"/>
      <c r="V272" s="7"/>
      <c r="W272" s="15" t="str">
        <f aca="true">IF(G272="","",IF(OR(G272="Novo contato",G272="Em conversa"),IF(J272="",TODAY(),J272+1),IF(G272="Avaliação marcada",IF(L272="",TODAY(),L272-1),IF(G272="Proposta enviada",IF(J272="",TODAY(),J272+2),IF(G272="Fechou pacote",IF(J272="",TODAY(),J272+7),IF(G272="Em tratamento",IF(M272="",TODAY(),IF(TODAY()&lt;=M272+1,M272+1,EDATE(M272,6)-30)),IF(G272="Pós-venda",IF(J272="",TODAY(),J272+7),IF(G272="Perdido",IF(J272="",TODAY(),J272+60),""))))))))</f>
        <v/>
      </c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3" t="str">
        <f aca="false">IF(OR(E273="",E273="A completar",E273="Ainda não sabe"),"",IF(OR(E273="Limpeza de pele",E273="Peeling de diamante",E273="Microagulhamento"),"Rosto","Corpo"))</f>
        <v/>
      </c>
      <c r="G273" s="12"/>
      <c r="H273" s="12"/>
      <c r="I273" s="12"/>
      <c r="J273" s="14"/>
      <c r="K273" s="12"/>
      <c r="L273" s="14"/>
      <c r="M273" s="14"/>
      <c r="N273" s="12"/>
      <c r="O273" s="12"/>
      <c r="P273" s="15" t="str">
        <f aca="false">IF(M273="","",EDATE(M273,6))</f>
        <v/>
      </c>
      <c r="Q273" s="15" t="str">
        <f aca="false">IF(W273="","",IF(WEEKDAY(W273)=1,W273+1,W273))</f>
        <v/>
      </c>
      <c r="R273" s="13" t="str">
        <f aca="true">IF(Q273="","",IF(AND(N(K273)&gt;=3,G273&lt;&gt;"Perdido"),"Mover para Perdido",IF(Q273&lt;TODAY(),"Atrasado",IF(Q273=TODAY(),"Hoje","No prazo"))))</f>
        <v/>
      </c>
      <c r="S273" s="12"/>
      <c r="T273" s="12"/>
      <c r="U273" s="12"/>
      <c r="V273" s="7"/>
      <c r="W273" s="15" t="str">
        <f aca="true">IF(G273="","",IF(OR(G273="Novo contato",G273="Em conversa"),IF(J273="",TODAY(),J273+1),IF(G273="Avaliação marcada",IF(L273="",TODAY(),L273-1),IF(G273="Proposta enviada",IF(J273="",TODAY(),J273+2),IF(G273="Fechou pacote",IF(J273="",TODAY(),J273+7),IF(G273="Em tratamento",IF(M273="",TODAY(),IF(TODAY()&lt;=M273+1,M273+1,EDATE(M273,6)-30)),IF(G273="Pós-venda",IF(J273="",TODAY(),J273+7),IF(G273="Perdido",IF(J273="",TODAY(),J273+60),""))))))))</f>
        <v/>
      </c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3" t="str">
        <f aca="false">IF(OR(E274="",E274="A completar",E274="Ainda não sabe"),"",IF(OR(E274="Limpeza de pele",E274="Peeling de diamante",E274="Microagulhamento"),"Rosto","Corpo"))</f>
        <v/>
      </c>
      <c r="G274" s="12"/>
      <c r="H274" s="12"/>
      <c r="I274" s="12"/>
      <c r="J274" s="14"/>
      <c r="K274" s="12"/>
      <c r="L274" s="14"/>
      <c r="M274" s="14"/>
      <c r="N274" s="12"/>
      <c r="O274" s="12"/>
      <c r="P274" s="15" t="str">
        <f aca="false">IF(M274="","",EDATE(M274,6))</f>
        <v/>
      </c>
      <c r="Q274" s="15" t="str">
        <f aca="false">IF(W274="","",IF(WEEKDAY(W274)=1,W274+1,W274))</f>
        <v/>
      </c>
      <c r="R274" s="13" t="str">
        <f aca="true">IF(Q274="","",IF(AND(N(K274)&gt;=3,G274&lt;&gt;"Perdido"),"Mover para Perdido",IF(Q274&lt;TODAY(),"Atrasado",IF(Q274=TODAY(),"Hoje","No prazo"))))</f>
        <v/>
      </c>
      <c r="S274" s="12"/>
      <c r="T274" s="12"/>
      <c r="U274" s="12"/>
      <c r="V274" s="7"/>
      <c r="W274" s="15" t="str">
        <f aca="true">IF(G274="","",IF(OR(G274="Novo contato",G274="Em conversa"),IF(J274="",TODAY(),J274+1),IF(G274="Avaliação marcada",IF(L274="",TODAY(),L274-1),IF(G274="Proposta enviada",IF(J274="",TODAY(),J274+2),IF(G274="Fechou pacote",IF(J274="",TODAY(),J274+7),IF(G274="Em tratamento",IF(M274="",TODAY(),IF(TODAY()&lt;=M274+1,M274+1,EDATE(M274,6)-30)),IF(G274="Pós-venda",IF(J274="",TODAY(),J274+7),IF(G274="Perdido",IF(J274="",TODAY(),J274+60),""))))))))</f>
        <v/>
      </c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3" t="str">
        <f aca="false">IF(OR(E275="",E275="A completar",E275="Ainda não sabe"),"",IF(OR(E275="Limpeza de pele",E275="Peeling de diamante",E275="Microagulhamento"),"Rosto","Corpo"))</f>
        <v/>
      </c>
      <c r="G275" s="12"/>
      <c r="H275" s="12"/>
      <c r="I275" s="12"/>
      <c r="J275" s="14"/>
      <c r="K275" s="12"/>
      <c r="L275" s="14"/>
      <c r="M275" s="14"/>
      <c r="N275" s="12"/>
      <c r="O275" s="12"/>
      <c r="P275" s="15" t="str">
        <f aca="false">IF(M275="","",EDATE(M275,6))</f>
        <v/>
      </c>
      <c r="Q275" s="15" t="str">
        <f aca="false">IF(W275="","",IF(WEEKDAY(W275)=1,W275+1,W275))</f>
        <v/>
      </c>
      <c r="R275" s="13" t="str">
        <f aca="true">IF(Q275="","",IF(AND(N(K275)&gt;=3,G275&lt;&gt;"Perdido"),"Mover para Perdido",IF(Q275&lt;TODAY(),"Atrasado",IF(Q275=TODAY(),"Hoje","No prazo"))))</f>
        <v/>
      </c>
      <c r="S275" s="12"/>
      <c r="T275" s="12"/>
      <c r="U275" s="12"/>
      <c r="V275" s="7"/>
      <c r="W275" s="15" t="str">
        <f aca="true">IF(G275="","",IF(OR(G275="Novo contato",G275="Em conversa"),IF(J275="",TODAY(),J275+1),IF(G275="Avaliação marcada",IF(L275="",TODAY(),L275-1),IF(G275="Proposta enviada",IF(J275="",TODAY(),J275+2),IF(G275="Fechou pacote",IF(J275="",TODAY(),J275+7),IF(G275="Em tratamento",IF(M275="",TODAY(),IF(TODAY()&lt;=M275+1,M275+1,EDATE(M275,6)-30)),IF(G275="Pós-venda",IF(J275="",TODAY(),J275+7),IF(G275="Perdido",IF(J275="",TODAY(),J275+60),""))))))))</f>
        <v/>
      </c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3" t="str">
        <f aca="false">IF(OR(E276="",E276="A completar",E276="Ainda não sabe"),"",IF(OR(E276="Limpeza de pele",E276="Peeling de diamante",E276="Microagulhamento"),"Rosto","Corpo"))</f>
        <v/>
      </c>
      <c r="G276" s="12"/>
      <c r="H276" s="12"/>
      <c r="I276" s="12"/>
      <c r="J276" s="14"/>
      <c r="K276" s="12"/>
      <c r="L276" s="14"/>
      <c r="M276" s="14"/>
      <c r="N276" s="12"/>
      <c r="O276" s="12"/>
      <c r="P276" s="15" t="str">
        <f aca="false">IF(M276="","",EDATE(M276,6))</f>
        <v/>
      </c>
      <c r="Q276" s="15" t="str">
        <f aca="false">IF(W276="","",IF(WEEKDAY(W276)=1,W276+1,W276))</f>
        <v/>
      </c>
      <c r="R276" s="13" t="str">
        <f aca="true">IF(Q276="","",IF(AND(N(K276)&gt;=3,G276&lt;&gt;"Perdido"),"Mover para Perdido",IF(Q276&lt;TODAY(),"Atrasado",IF(Q276=TODAY(),"Hoje","No prazo"))))</f>
        <v/>
      </c>
      <c r="S276" s="12"/>
      <c r="T276" s="12"/>
      <c r="U276" s="12"/>
      <c r="V276" s="7"/>
      <c r="W276" s="15" t="str">
        <f aca="true">IF(G276="","",IF(OR(G276="Novo contato",G276="Em conversa"),IF(J276="",TODAY(),J276+1),IF(G276="Avaliação marcada",IF(L276="",TODAY(),L276-1),IF(G276="Proposta enviada",IF(J276="",TODAY(),J276+2),IF(G276="Fechou pacote",IF(J276="",TODAY(),J276+7),IF(G276="Em tratamento",IF(M276="",TODAY(),IF(TODAY()&lt;=M276+1,M276+1,EDATE(M276,6)-30)),IF(G276="Pós-venda",IF(J276="",TODAY(),J276+7),IF(G276="Perdido",IF(J276="",TODAY(),J276+60),""))))))))</f>
        <v/>
      </c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3" t="str">
        <f aca="false">IF(OR(E277="",E277="A completar",E277="Ainda não sabe"),"",IF(OR(E277="Limpeza de pele",E277="Peeling de diamante",E277="Microagulhamento"),"Rosto","Corpo"))</f>
        <v/>
      </c>
      <c r="G277" s="12"/>
      <c r="H277" s="12"/>
      <c r="I277" s="12"/>
      <c r="J277" s="14"/>
      <c r="K277" s="12"/>
      <c r="L277" s="14"/>
      <c r="M277" s="14"/>
      <c r="N277" s="12"/>
      <c r="O277" s="12"/>
      <c r="P277" s="15" t="str">
        <f aca="false">IF(M277="","",EDATE(M277,6))</f>
        <v/>
      </c>
      <c r="Q277" s="15" t="str">
        <f aca="false">IF(W277="","",IF(WEEKDAY(W277)=1,W277+1,W277))</f>
        <v/>
      </c>
      <c r="R277" s="13" t="str">
        <f aca="true">IF(Q277="","",IF(AND(N(K277)&gt;=3,G277&lt;&gt;"Perdido"),"Mover para Perdido",IF(Q277&lt;TODAY(),"Atrasado",IF(Q277=TODAY(),"Hoje","No prazo"))))</f>
        <v/>
      </c>
      <c r="S277" s="12"/>
      <c r="T277" s="12"/>
      <c r="U277" s="12"/>
      <c r="V277" s="7"/>
      <c r="W277" s="15" t="str">
        <f aca="true">IF(G277="","",IF(OR(G277="Novo contato",G277="Em conversa"),IF(J277="",TODAY(),J277+1),IF(G277="Avaliação marcada",IF(L277="",TODAY(),L277-1),IF(G277="Proposta enviada",IF(J277="",TODAY(),J277+2),IF(G277="Fechou pacote",IF(J277="",TODAY(),J277+7),IF(G277="Em tratamento",IF(M277="",TODAY(),IF(TODAY()&lt;=M277+1,M277+1,EDATE(M277,6)-30)),IF(G277="Pós-venda",IF(J277="",TODAY(),J277+7),IF(G277="Perdido",IF(J277="",TODAY(),J277+60),""))))))))</f>
        <v/>
      </c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3" t="str">
        <f aca="false">IF(OR(E278="",E278="A completar",E278="Ainda não sabe"),"",IF(OR(E278="Limpeza de pele",E278="Peeling de diamante",E278="Microagulhamento"),"Rosto","Corpo"))</f>
        <v/>
      </c>
      <c r="G278" s="12"/>
      <c r="H278" s="12"/>
      <c r="I278" s="12"/>
      <c r="J278" s="14"/>
      <c r="K278" s="12"/>
      <c r="L278" s="14"/>
      <c r="M278" s="14"/>
      <c r="N278" s="12"/>
      <c r="O278" s="12"/>
      <c r="P278" s="15" t="str">
        <f aca="false">IF(M278="","",EDATE(M278,6))</f>
        <v/>
      </c>
      <c r="Q278" s="15" t="str">
        <f aca="false">IF(W278="","",IF(WEEKDAY(W278)=1,W278+1,W278))</f>
        <v/>
      </c>
      <c r="R278" s="13" t="str">
        <f aca="true">IF(Q278="","",IF(AND(N(K278)&gt;=3,G278&lt;&gt;"Perdido"),"Mover para Perdido",IF(Q278&lt;TODAY(),"Atrasado",IF(Q278=TODAY(),"Hoje","No prazo"))))</f>
        <v/>
      </c>
      <c r="S278" s="12"/>
      <c r="T278" s="12"/>
      <c r="U278" s="12"/>
      <c r="V278" s="7"/>
      <c r="W278" s="15" t="str">
        <f aca="true">IF(G278="","",IF(OR(G278="Novo contato",G278="Em conversa"),IF(J278="",TODAY(),J278+1),IF(G278="Avaliação marcada",IF(L278="",TODAY(),L278-1),IF(G278="Proposta enviada",IF(J278="",TODAY(),J278+2),IF(G278="Fechou pacote",IF(J278="",TODAY(),J278+7),IF(G278="Em tratamento",IF(M278="",TODAY(),IF(TODAY()&lt;=M278+1,M278+1,EDATE(M278,6)-30)),IF(G278="Pós-venda",IF(J278="",TODAY(),J278+7),IF(G278="Perdido",IF(J278="",TODAY(),J278+60),""))))))))</f>
        <v/>
      </c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3" t="str">
        <f aca="false">IF(OR(E279="",E279="A completar",E279="Ainda não sabe"),"",IF(OR(E279="Limpeza de pele",E279="Peeling de diamante",E279="Microagulhamento"),"Rosto","Corpo"))</f>
        <v/>
      </c>
      <c r="G279" s="12"/>
      <c r="H279" s="12"/>
      <c r="I279" s="12"/>
      <c r="J279" s="14"/>
      <c r="K279" s="12"/>
      <c r="L279" s="14"/>
      <c r="M279" s="14"/>
      <c r="N279" s="12"/>
      <c r="O279" s="12"/>
      <c r="P279" s="15" t="str">
        <f aca="false">IF(M279="","",EDATE(M279,6))</f>
        <v/>
      </c>
      <c r="Q279" s="15" t="str">
        <f aca="false">IF(W279="","",IF(WEEKDAY(W279)=1,W279+1,W279))</f>
        <v/>
      </c>
      <c r="R279" s="13" t="str">
        <f aca="true">IF(Q279="","",IF(AND(N(K279)&gt;=3,G279&lt;&gt;"Perdido"),"Mover para Perdido",IF(Q279&lt;TODAY(),"Atrasado",IF(Q279=TODAY(),"Hoje","No prazo"))))</f>
        <v/>
      </c>
      <c r="S279" s="12"/>
      <c r="T279" s="12"/>
      <c r="U279" s="12"/>
      <c r="V279" s="7"/>
      <c r="W279" s="15" t="str">
        <f aca="true">IF(G279="","",IF(OR(G279="Novo contato",G279="Em conversa"),IF(J279="",TODAY(),J279+1),IF(G279="Avaliação marcada",IF(L279="",TODAY(),L279-1),IF(G279="Proposta enviada",IF(J279="",TODAY(),J279+2),IF(G279="Fechou pacote",IF(J279="",TODAY(),J279+7),IF(G279="Em tratamento",IF(M279="",TODAY(),IF(TODAY()&lt;=M279+1,M279+1,EDATE(M279,6)-30)),IF(G279="Pós-venda",IF(J279="",TODAY(),J279+7),IF(G279="Perdido",IF(J279="",TODAY(),J279+60),""))))))))</f>
        <v/>
      </c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3" t="str">
        <f aca="false">IF(OR(E280="",E280="A completar",E280="Ainda não sabe"),"",IF(OR(E280="Limpeza de pele",E280="Peeling de diamante",E280="Microagulhamento"),"Rosto","Corpo"))</f>
        <v/>
      </c>
      <c r="G280" s="12"/>
      <c r="H280" s="12"/>
      <c r="I280" s="12"/>
      <c r="J280" s="14"/>
      <c r="K280" s="12"/>
      <c r="L280" s="14"/>
      <c r="M280" s="14"/>
      <c r="N280" s="12"/>
      <c r="O280" s="12"/>
      <c r="P280" s="15" t="str">
        <f aca="false">IF(M280="","",EDATE(M280,6))</f>
        <v/>
      </c>
      <c r="Q280" s="15" t="str">
        <f aca="false">IF(W280="","",IF(WEEKDAY(W280)=1,W280+1,W280))</f>
        <v/>
      </c>
      <c r="R280" s="13" t="str">
        <f aca="true">IF(Q280="","",IF(AND(N(K280)&gt;=3,G280&lt;&gt;"Perdido"),"Mover para Perdido",IF(Q280&lt;TODAY(),"Atrasado",IF(Q280=TODAY(),"Hoje","No prazo"))))</f>
        <v/>
      </c>
      <c r="S280" s="12"/>
      <c r="T280" s="12"/>
      <c r="U280" s="12"/>
      <c r="V280" s="7"/>
      <c r="W280" s="15" t="str">
        <f aca="true">IF(G280="","",IF(OR(G280="Novo contato",G280="Em conversa"),IF(J280="",TODAY(),J280+1),IF(G280="Avaliação marcada",IF(L280="",TODAY(),L280-1),IF(G280="Proposta enviada",IF(J280="",TODAY(),J280+2),IF(G280="Fechou pacote",IF(J280="",TODAY(),J280+7),IF(G280="Em tratamento",IF(M280="",TODAY(),IF(TODAY()&lt;=M280+1,M280+1,EDATE(M280,6)-30)),IF(G280="Pós-venda",IF(J280="",TODAY(),J280+7),IF(G280="Perdido",IF(J280="",TODAY(),J280+60),""))))))))</f>
        <v/>
      </c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3" t="str">
        <f aca="false">IF(OR(E281="",E281="A completar",E281="Ainda não sabe"),"",IF(OR(E281="Limpeza de pele",E281="Peeling de diamante",E281="Microagulhamento"),"Rosto","Corpo"))</f>
        <v/>
      </c>
      <c r="G281" s="12"/>
      <c r="H281" s="12"/>
      <c r="I281" s="12"/>
      <c r="J281" s="14"/>
      <c r="K281" s="12"/>
      <c r="L281" s="14"/>
      <c r="M281" s="14"/>
      <c r="N281" s="12"/>
      <c r="O281" s="12"/>
      <c r="P281" s="15" t="str">
        <f aca="false">IF(M281="","",EDATE(M281,6))</f>
        <v/>
      </c>
      <c r="Q281" s="15" t="str">
        <f aca="false">IF(W281="","",IF(WEEKDAY(W281)=1,W281+1,W281))</f>
        <v/>
      </c>
      <c r="R281" s="13" t="str">
        <f aca="true">IF(Q281="","",IF(AND(N(K281)&gt;=3,G281&lt;&gt;"Perdido"),"Mover para Perdido",IF(Q281&lt;TODAY(),"Atrasado",IF(Q281=TODAY(),"Hoje","No prazo"))))</f>
        <v/>
      </c>
      <c r="S281" s="12"/>
      <c r="T281" s="12"/>
      <c r="U281" s="12"/>
      <c r="V281" s="7"/>
      <c r="W281" s="15" t="str">
        <f aca="true">IF(G281="","",IF(OR(G281="Novo contato",G281="Em conversa"),IF(J281="",TODAY(),J281+1),IF(G281="Avaliação marcada",IF(L281="",TODAY(),L281-1),IF(G281="Proposta enviada",IF(J281="",TODAY(),J281+2),IF(G281="Fechou pacote",IF(J281="",TODAY(),J281+7),IF(G281="Em tratamento",IF(M281="",TODAY(),IF(TODAY()&lt;=M281+1,M281+1,EDATE(M281,6)-30)),IF(G281="Pós-venda",IF(J281="",TODAY(),J281+7),IF(G281="Perdido",IF(J281="",TODAY(),J281+60),""))))))))</f>
        <v/>
      </c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3" t="str">
        <f aca="false">IF(OR(E282="",E282="A completar",E282="Ainda não sabe"),"",IF(OR(E282="Limpeza de pele",E282="Peeling de diamante",E282="Microagulhamento"),"Rosto","Corpo"))</f>
        <v/>
      </c>
      <c r="G282" s="12"/>
      <c r="H282" s="12"/>
      <c r="I282" s="12"/>
      <c r="J282" s="14"/>
      <c r="K282" s="12"/>
      <c r="L282" s="14"/>
      <c r="M282" s="14"/>
      <c r="N282" s="12"/>
      <c r="O282" s="12"/>
      <c r="P282" s="15" t="str">
        <f aca="false">IF(M282="","",EDATE(M282,6))</f>
        <v/>
      </c>
      <c r="Q282" s="15" t="str">
        <f aca="false">IF(W282="","",IF(WEEKDAY(W282)=1,W282+1,W282))</f>
        <v/>
      </c>
      <c r="R282" s="13" t="str">
        <f aca="true">IF(Q282="","",IF(AND(N(K282)&gt;=3,G282&lt;&gt;"Perdido"),"Mover para Perdido",IF(Q282&lt;TODAY(),"Atrasado",IF(Q282=TODAY(),"Hoje","No prazo"))))</f>
        <v/>
      </c>
      <c r="S282" s="12"/>
      <c r="T282" s="12"/>
      <c r="U282" s="12"/>
      <c r="V282" s="7"/>
      <c r="W282" s="15" t="str">
        <f aca="true">IF(G282="","",IF(OR(G282="Novo contato",G282="Em conversa"),IF(J282="",TODAY(),J282+1),IF(G282="Avaliação marcada",IF(L282="",TODAY(),L282-1),IF(G282="Proposta enviada",IF(J282="",TODAY(),J282+2),IF(G282="Fechou pacote",IF(J282="",TODAY(),J282+7),IF(G282="Em tratamento",IF(M282="",TODAY(),IF(TODAY()&lt;=M282+1,M282+1,EDATE(M282,6)-30)),IF(G282="Pós-venda",IF(J282="",TODAY(),J282+7),IF(G282="Perdido",IF(J282="",TODAY(),J282+60),""))))))))</f>
        <v/>
      </c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3" t="str">
        <f aca="false">IF(OR(E283="",E283="A completar",E283="Ainda não sabe"),"",IF(OR(E283="Limpeza de pele",E283="Peeling de diamante",E283="Microagulhamento"),"Rosto","Corpo"))</f>
        <v/>
      </c>
      <c r="G283" s="12"/>
      <c r="H283" s="12"/>
      <c r="I283" s="12"/>
      <c r="J283" s="14"/>
      <c r="K283" s="12"/>
      <c r="L283" s="14"/>
      <c r="M283" s="14"/>
      <c r="N283" s="12"/>
      <c r="O283" s="12"/>
      <c r="P283" s="15" t="str">
        <f aca="false">IF(M283="","",EDATE(M283,6))</f>
        <v/>
      </c>
      <c r="Q283" s="15" t="str">
        <f aca="false">IF(W283="","",IF(WEEKDAY(W283)=1,W283+1,W283))</f>
        <v/>
      </c>
      <c r="R283" s="13" t="str">
        <f aca="true">IF(Q283="","",IF(AND(N(K283)&gt;=3,G283&lt;&gt;"Perdido"),"Mover para Perdido",IF(Q283&lt;TODAY(),"Atrasado",IF(Q283=TODAY(),"Hoje","No prazo"))))</f>
        <v/>
      </c>
      <c r="S283" s="12"/>
      <c r="T283" s="12"/>
      <c r="U283" s="12"/>
      <c r="V283" s="7"/>
      <c r="W283" s="15" t="str">
        <f aca="true">IF(G283="","",IF(OR(G283="Novo contato",G283="Em conversa"),IF(J283="",TODAY(),J283+1),IF(G283="Avaliação marcada",IF(L283="",TODAY(),L283-1),IF(G283="Proposta enviada",IF(J283="",TODAY(),J283+2),IF(G283="Fechou pacote",IF(J283="",TODAY(),J283+7),IF(G283="Em tratamento",IF(M283="",TODAY(),IF(TODAY()&lt;=M283+1,M283+1,EDATE(M283,6)-30)),IF(G283="Pós-venda",IF(J283="",TODAY(),J283+7),IF(G283="Perdido",IF(J283="",TODAY(),J283+60),""))))))))</f>
        <v/>
      </c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3" t="str">
        <f aca="false">IF(OR(E284="",E284="A completar",E284="Ainda não sabe"),"",IF(OR(E284="Limpeza de pele",E284="Peeling de diamante",E284="Microagulhamento"),"Rosto","Corpo"))</f>
        <v/>
      </c>
      <c r="G284" s="12"/>
      <c r="H284" s="12"/>
      <c r="I284" s="12"/>
      <c r="J284" s="14"/>
      <c r="K284" s="12"/>
      <c r="L284" s="14"/>
      <c r="M284" s="14"/>
      <c r="N284" s="12"/>
      <c r="O284" s="12"/>
      <c r="P284" s="15" t="str">
        <f aca="false">IF(M284="","",EDATE(M284,6))</f>
        <v/>
      </c>
      <c r="Q284" s="15" t="str">
        <f aca="false">IF(W284="","",IF(WEEKDAY(W284)=1,W284+1,W284))</f>
        <v/>
      </c>
      <c r="R284" s="13" t="str">
        <f aca="true">IF(Q284="","",IF(AND(N(K284)&gt;=3,G284&lt;&gt;"Perdido"),"Mover para Perdido",IF(Q284&lt;TODAY(),"Atrasado",IF(Q284=TODAY(),"Hoje","No prazo"))))</f>
        <v/>
      </c>
      <c r="S284" s="12"/>
      <c r="T284" s="12"/>
      <c r="U284" s="12"/>
      <c r="V284" s="7"/>
      <c r="W284" s="15" t="str">
        <f aca="true">IF(G284="","",IF(OR(G284="Novo contato",G284="Em conversa"),IF(J284="",TODAY(),J284+1),IF(G284="Avaliação marcada",IF(L284="",TODAY(),L284-1),IF(G284="Proposta enviada",IF(J284="",TODAY(),J284+2),IF(G284="Fechou pacote",IF(J284="",TODAY(),J284+7),IF(G284="Em tratamento",IF(M284="",TODAY(),IF(TODAY()&lt;=M284+1,M284+1,EDATE(M284,6)-30)),IF(G284="Pós-venda",IF(J284="",TODAY(),J284+7),IF(G284="Perdido",IF(J284="",TODAY(),J284+60),""))))))))</f>
        <v/>
      </c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3" t="str">
        <f aca="false">IF(OR(E285="",E285="A completar",E285="Ainda não sabe"),"",IF(OR(E285="Limpeza de pele",E285="Peeling de diamante",E285="Microagulhamento"),"Rosto","Corpo"))</f>
        <v/>
      </c>
      <c r="G285" s="12"/>
      <c r="H285" s="12"/>
      <c r="I285" s="12"/>
      <c r="J285" s="14"/>
      <c r="K285" s="12"/>
      <c r="L285" s="14"/>
      <c r="M285" s="14"/>
      <c r="N285" s="12"/>
      <c r="O285" s="12"/>
      <c r="P285" s="15" t="str">
        <f aca="false">IF(M285="","",EDATE(M285,6))</f>
        <v/>
      </c>
      <c r="Q285" s="15" t="str">
        <f aca="false">IF(W285="","",IF(WEEKDAY(W285)=1,W285+1,W285))</f>
        <v/>
      </c>
      <c r="R285" s="13" t="str">
        <f aca="true">IF(Q285="","",IF(AND(N(K285)&gt;=3,G285&lt;&gt;"Perdido"),"Mover para Perdido",IF(Q285&lt;TODAY(),"Atrasado",IF(Q285=TODAY(),"Hoje","No prazo"))))</f>
        <v/>
      </c>
      <c r="S285" s="12"/>
      <c r="T285" s="12"/>
      <c r="U285" s="12"/>
      <c r="V285" s="7"/>
      <c r="W285" s="15" t="str">
        <f aca="true">IF(G285="","",IF(OR(G285="Novo contato",G285="Em conversa"),IF(J285="",TODAY(),J285+1),IF(G285="Avaliação marcada",IF(L285="",TODAY(),L285-1),IF(G285="Proposta enviada",IF(J285="",TODAY(),J285+2),IF(G285="Fechou pacote",IF(J285="",TODAY(),J285+7),IF(G285="Em tratamento",IF(M285="",TODAY(),IF(TODAY()&lt;=M285+1,M285+1,EDATE(M285,6)-30)),IF(G285="Pós-venda",IF(J285="",TODAY(),J285+7),IF(G285="Perdido",IF(J285="",TODAY(),J285+60),""))))))))</f>
        <v/>
      </c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3" t="str">
        <f aca="false">IF(OR(E286="",E286="A completar",E286="Ainda não sabe"),"",IF(OR(E286="Limpeza de pele",E286="Peeling de diamante",E286="Microagulhamento"),"Rosto","Corpo"))</f>
        <v/>
      </c>
      <c r="G286" s="12"/>
      <c r="H286" s="12"/>
      <c r="I286" s="12"/>
      <c r="J286" s="14"/>
      <c r="K286" s="12"/>
      <c r="L286" s="14"/>
      <c r="M286" s="14"/>
      <c r="N286" s="12"/>
      <c r="O286" s="12"/>
      <c r="P286" s="15" t="str">
        <f aca="false">IF(M286="","",EDATE(M286,6))</f>
        <v/>
      </c>
      <c r="Q286" s="15" t="str">
        <f aca="false">IF(W286="","",IF(WEEKDAY(W286)=1,W286+1,W286))</f>
        <v/>
      </c>
      <c r="R286" s="13" t="str">
        <f aca="true">IF(Q286="","",IF(AND(N(K286)&gt;=3,G286&lt;&gt;"Perdido"),"Mover para Perdido",IF(Q286&lt;TODAY(),"Atrasado",IF(Q286=TODAY(),"Hoje","No prazo"))))</f>
        <v/>
      </c>
      <c r="S286" s="12"/>
      <c r="T286" s="12"/>
      <c r="U286" s="12"/>
      <c r="V286" s="7"/>
      <c r="W286" s="15" t="str">
        <f aca="true">IF(G286="","",IF(OR(G286="Novo contato",G286="Em conversa"),IF(J286="",TODAY(),J286+1),IF(G286="Avaliação marcada",IF(L286="",TODAY(),L286-1),IF(G286="Proposta enviada",IF(J286="",TODAY(),J286+2),IF(G286="Fechou pacote",IF(J286="",TODAY(),J286+7),IF(G286="Em tratamento",IF(M286="",TODAY(),IF(TODAY()&lt;=M286+1,M286+1,EDATE(M286,6)-30)),IF(G286="Pós-venda",IF(J286="",TODAY(),J286+7),IF(G286="Perdido",IF(J286="",TODAY(),J286+60),""))))))))</f>
        <v/>
      </c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3" t="str">
        <f aca="false">IF(OR(E287="",E287="A completar",E287="Ainda não sabe"),"",IF(OR(E287="Limpeza de pele",E287="Peeling de diamante",E287="Microagulhamento"),"Rosto","Corpo"))</f>
        <v/>
      </c>
      <c r="G287" s="12"/>
      <c r="H287" s="12"/>
      <c r="I287" s="12"/>
      <c r="J287" s="14"/>
      <c r="K287" s="12"/>
      <c r="L287" s="14"/>
      <c r="M287" s="14"/>
      <c r="N287" s="12"/>
      <c r="O287" s="12"/>
      <c r="P287" s="15" t="str">
        <f aca="false">IF(M287="","",EDATE(M287,6))</f>
        <v/>
      </c>
      <c r="Q287" s="15" t="str">
        <f aca="false">IF(W287="","",IF(WEEKDAY(W287)=1,W287+1,W287))</f>
        <v/>
      </c>
      <c r="R287" s="13" t="str">
        <f aca="true">IF(Q287="","",IF(AND(N(K287)&gt;=3,G287&lt;&gt;"Perdido"),"Mover para Perdido",IF(Q287&lt;TODAY(),"Atrasado",IF(Q287=TODAY(),"Hoje","No prazo"))))</f>
        <v/>
      </c>
      <c r="S287" s="12"/>
      <c r="T287" s="12"/>
      <c r="U287" s="12"/>
      <c r="V287" s="7"/>
      <c r="W287" s="15" t="str">
        <f aca="true">IF(G287="","",IF(OR(G287="Novo contato",G287="Em conversa"),IF(J287="",TODAY(),J287+1),IF(G287="Avaliação marcada",IF(L287="",TODAY(),L287-1),IF(G287="Proposta enviada",IF(J287="",TODAY(),J287+2),IF(G287="Fechou pacote",IF(J287="",TODAY(),J287+7),IF(G287="Em tratamento",IF(M287="",TODAY(),IF(TODAY()&lt;=M287+1,M287+1,EDATE(M287,6)-30)),IF(G287="Pós-venda",IF(J287="",TODAY(),J287+7),IF(G287="Perdido",IF(J287="",TODAY(),J287+60),""))))))))</f>
        <v/>
      </c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3" t="str">
        <f aca="false">IF(OR(E288="",E288="A completar",E288="Ainda não sabe"),"",IF(OR(E288="Limpeza de pele",E288="Peeling de diamante",E288="Microagulhamento"),"Rosto","Corpo"))</f>
        <v/>
      </c>
      <c r="G288" s="12"/>
      <c r="H288" s="12"/>
      <c r="I288" s="12"/>
      <c r="J288" s="14"/>
      <c r="K288" s="12"/>
      <c r="L288" s="14"/>
      <c r="M288" s="14"/>
      <c r="N288" s="12"/>
      <c r="O288" s="12"/>
      <c r="P288" s="15" t="str">
        <f aca="false">IF(M288="","",EDATE(M288,6))</f>
        <v/>
      </c>
      <c r="Q288" s="15" t="str">
        <f aca="false">IF(W288="","",IF(WEEKDAY(W288)=1,W288+1,W288))</f>
        <v/>
      </c>
      <c r="R288" s="13" t="str">
        <f aca="true">IF(Q288="","",IF(AND(N(K288)&gt;=3,G288&lt;&gt;"Perdido"),"Mover para Perdido",IF(Q288&lt;TODAY(),"Atrasado",IF(Q288=TODAY(),"Hoje","No prazo"))))</f>
        <v/>
      </c>
      <c r="S288" s="12"/>
      <c r="T288" s="12"/>
      <c r="U288" s="12"/>
      <c r="V288" s="7"/>
      <c r="W288" s="15" t="str">
        <f aca="true">IF(G288="","",IF(OR(G288="Novo contato",G288="Em conversa"),IF(J288="",TODAY(),J288+1),IF(G288="Avaliação marcada",IF(L288="",TODAY(),L288-1),IF(G288="Proposta enviada",IF(J288="",TODAY(),J288+2),IF(G288="Fechou pacote",IF(J288="",TODAY(),J288+7),IF(G288="Em tratamento",IF(M288="",TODAY(),IF(TODAY()&lt;=M288+1,M288+1,EDATE(M288,6)-30)),IF(G288="Pós-venda",IF(J288="",TODAY(),J288+7),IF(G288="Perdido",IF(J288="",TODAY(),J288+60),""))))))))</f>
        <v/>
      </c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3" t="str">
        <f aca="false">IF(OR(E289="",E289="A completar",E289="Ainda não sabe"),"",IF(OR(E289="Limpeza de pele",E289="Peeling de diamante",E289="Microagulhamento"),"Rosto","Corpo"))</f>
        <v/>
      </c>
      <c r="G289" s="12"/>
      <c r="H289" s="12"/>
      <c r="I289" s="12"/>
      <c r="J289" s="14"/>
      <c r="K289" s="12"/>
      <c r="L289" s="14"/>
      <c r="M289" s="14"/>
      <c r="N289" s="12"/>
      <c r="O289" s="12"/>
      <c r="P289" s="15" t="str">
        <f aca="false">IF(M289="","",EDATE(M289,6))</f>
        <v/>
      </c>
      <c r="Q289" s="15" t="str">
        <f aca="false">IF(W289="","",IF(WEEKDAY(W289)=1,W289+1,W289))</f>
        <v/>
      </c>
      <c r="R289" s="13" t="str">
        <f aca="true">IF(Q289="","",IF(AND(N(K289)&gt;=3,G289&lt;&gt;"Perdido"),"Mover para Perdido",IF(Q289&lt;TODAY(),"Atrasado",IF(Q289=TODAY(),"Hoje","No prazo"))))</f>
        <v/>
      </c>
      <c r="S289" s="12"/>
      <c r="T289" s="12"/>
      <c r="U289" s="12"/>
      <c r="V289" s="7"/>
      <c r="W289" s="15" t="str">
        <f aca="true">IF(G289="","",IF(OR(G289="Novo contato",G289="Em conversa"),IF(J289="",TODAY(),J289+1),IF(G289="Avaliação marcada",IF(L289="",TODAY(),L289-1),IF(G289="Proposta enviada",IF(J289="",TODAY(),J289+2),IF(G289="Fechou pacote",IF(J289="",TODAY(),J289+7),IF(G289="Em tratamento",IF(M289="",TODAY(),IF(TODAY()&lt;=M289+1,M289+1,EDATE(M289,6)-30)),IF(G289="Pós-venda",IF(J289="",TODAY(),J289+7),IF(G289="Perdido",IF(J289="",TODAY(),J289+60),""))))))))</f>
        <v/>
      </c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3" t="str">
        <f aca="false">IF(OR(E290="",E290="A completar",E290="Ainda não sabe"),"",IF(OR(E290="Limpeza de pele",E290="Peeling de diamante",E290="Microagulhamento"),"Rosto","Corpo"))</f>
        <v/>
      </c>
      <c r="G290" s="12"/>
      <c r="H290" s="12"/>
      <c r="I290" s="12"/>
      <c r="J290" s="14"/>
      <c r="K290" s="12"/>
      <c r="L290" s="14"/>
      <c r="M290" s="14"/>
      <c r="N290" s="12"/>
      <c r="O290" s="12"/>
      <c r="P290" s="15" t="str">
        <f aca="false">IF(M290="","",EDATE(M290,6))</f>
        <v/>
      </c>
      <c r="Q290" s="15" t="str">
        <f aca="false">IF(W290="","",IF(WEEKDAY(W290)=1,W290+1,W290))</f>
        <v/>
      </c>
      <c r="R290" s="13" t="str">
        <f aca="true">IF(Q290="","",IF(AND(N(K290)&gt;=3,G290&lt;&gt;"Perdido"),"Mover para Perdido",IF(Q290&lt;TODAY(),"Atrasado",IF(Q290=TODAY(),"Hoje","No prazo"))))</f>
        <v/>
      </c>
      <c r="S290" s="12"/>
      <c r="T290" s="12"/>
      <c r="U290" s="12"/>
      <c r="V290" s="7"/>
      <c r="W290" s="15" t="str">
        <f aca="true">IF(G290="","",IF(OR(G290="Novo contato",G290="Em conversa"),IF(J290="",TODAY(),J290+1),IF(G290="Avaliação marcada",IF(L290="",TODAY(),L290-1),IF(G290="Proposta enviada",IF(J290="",TODAY(),J290+2),IF(G290="Fechou pacote",IF(J290="",TODAY(),J290+7),IF(G290="Em tratamento",IF(M290="",TODAY(),IF(TODAY()&lt;=M290+1,M290+1,EDATE(M290,6)-30)),IF(G290="Pós-venda",IF(J290="",TODAY(),J290+7),IF(G290="Perdido",IF(J290="",TODAY(),J290+60),""))))))))</f>
        <v/>
      </c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3" t="str">
        <f aca="false">IF(OR(E291="",E291="A completar",E291="Ainda não sabe"),"",IF(OR(E291="Limpeza de pele",E291="Peeling de diamante",E291="Microagulhamento"),"Rosto","Corpo"))</f>
        <v/>
      </c>
      <c r="G291" s="12"/>
      <c r="H291" s="12"/>
      <c r="I291" s="12"/>
      <c r="J291" s="14"/>
      <c r="K291" s="12"/>
      <c r="L291" s="14"/>
      <c r="M291" s="14"/>
      <c r="N291" s="12"/>
      <c r="O291" s="12"/>
      <c r="P291" s="15" t="str">
        <f aca="false">IF(M291="","",EDATE(M291,6))</f>
        <v/>
      </c>
      <c r="Q291" s="15" t="str">
        <f aca="false">IF(W291="","",IF(WEEKDAY(W291)=1,W291+1,W291))</f>
        <v/>
      </c>
      <c r="R291" s="13" t="str">
        <f aca="true">IF(Q291="","",IF(AND(N(K291)&gt;=3,G291&lt;&gt;"Perdido"),"Mover para Perdido",IF(Q291&lt;TODAY(),"Atrasado",IF(Q291=TODAY(),"Hoje","No prazo"))))</f>
        <v/>
      </c>
      <c r="S291" s="12"/>
      <c r="T291" s="12"/>
      <c r="U291" s="12"/>
      <c r="V291" s="7"/>
      <c r="W291" s="15" t="str">
        <f aca="true">IF(G291="","",IF(OR(G291="Novo contato",G291="Em conversa"),IF(J291="",TODAY(),J291+1),IF(G291="Avaliação marcada",IF(L291="",TODAY(),L291-1),IF(G291="Proposta enviada",IF(J291="",TODAY(),J291+2),IF(G291="Fechou pacote",IF(J291="",TODAY(),J291+7),IF(G291="Em tratamento",IF(M291="",TODAY(),IF(TODAY()&lt;=M291+1,M291+1,EDATE(M291,6)-30)),IF(G291="Pós-venda",IF(J291="",TODAY(),J291+7),IF(G291="Perdido",IF(J291="",TODAY(),J291+60),""))))))))</f>
        <v/>
      </c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3" t="str">
        <f aca="false">IF(OR(E292="",E292="A completar",E292="Ainda não sabe"),"",IF(OR(E292="Limpeza de pele",E292="Peeling de diamante",E292="Microagulhamento"),"Rosto","Corpo"))</f>
        <v/>
      </c>
      <c r="G292" s="12"/>
      <c r="H292" s="12"/>
      <c r="I292" s="12"/>
      <c r="J292" s="14"/>
      <c r="K292" s="12"/>
      <c r="L292" s="14"/>
      <c r="M292" s="14"/>
      <c r="N292" s="12"/>
      <c r="O292" s="12"/>
      <c r="P292" s="15" t="str">
        <f aca="false">IF(M292="","",EDATE(M292,6))</f>
        <v/>
      </c>
      <c r="Q292" s="15" t="str">
        <f aca="false">IF(W292="","",IF(WEEKDAY(W292)=1,W292+1,W292))</f>
        <v/>
      </c>
      <c r="R292" s="13" t="str">
        <f aca="true">IF(Q292="","",IF(AND(N(K292)&gt;=3,G292&lt;&gt;"Perdido"),"Mover para Perdido",IF(Q292&lt;TODAY(),"Atrasado",IF(Q292=TODAY(),"Hoje","No prazo"))))</f>
        <v/>
      </c>
      <c r="S292" s="12"/>
      <c r="T292" s="12"/>
      <c r="U292" s="12"/>
      <c r="V292" s="7"/>
      <c r="W292" s="15" t="str">
        <f aca="true">IF(G292="","",IF(OR(G292="Novo contato",G292="Em conversa"),IF(J292="",TODAY(),J292+1),IF(G292="Avaliação marcada",IF(L292="",TODAY(),L292-1),IF(G292="Proposta enviada",IF(J292="",TODAY(),J292+2),IF(G292="Fechou pacote",IF(J292="",TODAY(),J292+7),IF(G292="Em tratamento",IF(M292="",TODAY(),IF(TODAY()&lt;=M292+1,M292+1,EDATE(M292,6)-30)),IF(G292="Pós-venda",IF(J292="",TODAY(),J292+7),IF(G292="Perdido",IF(J292="",TODAY(),J292+60),""))))))))</f>
        <v/>
      </c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3" t="str">
        <f aca="false">IF(OR(E293="",E293="A completar",E293="Ainda não sabe"),"",IF(OR(E293="Limpeza de pele",E293="Peeling de diamante",E293="Microagulhamento"),"Rosto","Corpo"))</f>
        <v/>
      </c>
      <c r="G293" s="12"/>
      <c r="H293" s="12"/>
      <c r="I293" s="12"/>
      <c r="J293" s="14"/>
      <c r="K293" s="12"/>
      <c r="L293" s="14"/>
      <c r="M293" s="14"/>
      <c r="N293" s="12"/>
      <c r="O293" s="12"/>
      <c r="P293" s="15" t="str">
        <f aca="false">IF(M293="","",EDATE(M293,6))</f>
        <v/>
      </c>
      <c r="Q293" s="15" t="str">
        <f aca="false">IF(W293="","",IF(WEEKDAY(W293)=1,W293+1,W293))</f>
        <v/>
      </c>
      <c r="R293" s="13" t="str">
        <f aca="true">IF(Q293="","",IF(AND(N(K293)&gt;=3,G293&lt;&gt;"Perdido"),"Mover para Perdido",IF(Q293&lt;TODAY(),"Atrasado",IF(Q293=TODAY(),"Hoje","No prazo"))))</f>
        <v/>
      </c>
      <c r="S293" s="12"/>
      <c r="T293" s="12"/>
      <c r="U293" s="12"/>
      <c r="V293" s="7"/>
      <c r="W293" s="15" t="str">
        <f aca="true">IF(G293="","",IF(OR(G293="Novo contato",G293="Em conversa"),IF(J293="",TODAY(),J293+1),IF(G293="Avaliação marcada",IF(L293="",TODAY(),L293-1),IF(G293="Proposta enviada",IF(J293="",TODAY(),J293+2),IF(G293="Fechou pacote",IF(J293="",TODAY(),J293+7),IF(G293="Em tratamento",IF(M293="",TODAY(),IF(TODAY()&lt;=M293+1,M293+1,EDATE(M293,6)-30)),IF(G293="Pós-venda",IF(J293="",TODAY(),J293+7),IF(G293="Perdido",IF(J293="",TODAY(),J293+60),""))))))))</f>
        <v/>
      </c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3" t="str">
        <f aca="false">IF(OR(E294="",E294="A completar",E294="Ainda não sabe"),"",IF(OR(E294="Limpeza de pele",E294="Peeling de diamante",E294="Microagulhamento"),"Rosto","Corpo"))</f>
        <v/>
      </c>
      <c r="G294" s="12"/>
      <c r="H294" s="12"/>
      <c r="I294" s="12"/>
      <c r="J294" s="14"/>
      <c r="K294" s="12"/>
      <c r="L294" s="14"/>
      <c r="M294" s="14"/>
      <c r="N294" s="12"/>
      <c r="O294" s="12"/>
      <c r="P294" s="15" t="str">
        <f aca="false">IF(M294="","",EDATE(M294,6))</f>
        <v/>
      </c>
      <c r="Q294" s="15" t="str">
        <f aca="false">IF(W294="","",IF(WEEKDAY(W294)=1,W294+1,W294))</f>
        <v/>
      </c>
      <c r="R294" s="13" t="str">
        <f aca="true">IF(Q294="","",IF(AND(N(K294)&gt;=3,G294&lt;&gt;"Perdido"),"Mover para Perdido",IF(Q294&lt;TODAY(),"Atrasado",IF(Q294=TODAY(),"Hoje","No prazo"))))</f>
        <v/>
      </c>
      <c r="S294" s="12"/>
      <c r="T294" s="12"/>
      <c r="U294" s="12"/>
      <c r="V294" s="7"/>
      <c r="W294" s="15" t="str">
        <f aca="true">IF(G294="","",IF(OR(G294="Novo contato",G294="Em conversa"),IF(J294="",TODAY(),J294+1),IF(G294="Avaliação marcada",IF(L294="",TODAY(),L294-1),IF(G294="Proposta enviada",IF(J294="",TODAY(),J294+2),IF(G294="Fechou pacote",IF(J294="",TODAY(),J294+7),IF(G294="Em tratamento",IF(M294="",TODAY(),IF(TODAY()&lt;=M294+1,M294+1,EDATE(M294,6)-30)),IF(G294="Pós-venda",IF(J294="",TODAY(),J294+7),IF(G294="Perdido",IF(J294="",TODAY(),J294+60),""))))))))</f>
        <v/>
      </c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3" t="str">
        <f aca="false">IF(OR(E295="",E295="A completar",E295="Ainda não sabe"),"",IF(OR(E295="Limpeza de pele",E295="Peeling de diamante",E295="Microagulhamento"),"Rosto","Corpo"))</f>
        <v/>
      </c>
      <c r="G295" s="12"/>
      <c r="H295" s="12"/>
      <c r="I295" s="12"/>
      <c r="J295" s="14"/>
      <c r="K295" s="12"/>
      <c r="L295" s="14"/>
      <c r="M295" s="14"/>
      <c r="N295" s="12"/>
      <c r="O295" s="12"/>
      <c r="P295" s="15" t="str">
        <f aca="false">IF(M295="","",EDATE(M295,6))</f>
        <v/>
      </c>
      <c r="Q295" s="15" t="str">
        <f aca="false">IF(W295="","",IF(WEEKDAY(W295)=1,W295+1,W295))</f>
        <v/>
      </c>
      <c r="R295" s="13" t="str">
        <f aca="true">IF(Q295="","",IF(AND(N(K295)&gt;=3,G295&lt;&gt;"Perdido"),"Mover para Perdido",IF(Q295&lt;TODAY(),"Atrasado",IF(Q295=TODAY(),"Hoje","No prazo"))))</f>
        <v/>
      </c>
      <c r="S295" s="12"/>
      <c r="T295" s="12"/>
      <c r="U295" s="12"/>
      <c r="V295" s="7"/>
      <c r="W295" s="15" t="str">
        <f aca="true">IF(G295="","",IF(OR(G295="Novo contato",G295="Em conversa"),IF(J295="",TODAY(),J295+1),IF(G295="Avaliação marcada",IF(L295="",TODAY(),L295-1),IF(G295="Proposta enviada",IF(J295="",TODAY(),J295+2),IF(G295="Fechou pacote",IF(J295="",TODAY(),J295+7),IF(G295="Em tratamento",IF(M295="",TODAY(),IF(TODAY()&lt;=M295+1,M295+1,EDATE(M295,6)-30)),IF(G295="Pós-venda",IF(J295="",TODAY(),J295+7),IF(G295="Perdido",IF(J295="",TODAY(),J295+60),""))))))))</f>
        <v/>
      </c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3" t="str">
        <f aca="false">IF(OR(E296="",E296="A completar",E296="Ainda não sabe"),"",IF(OR(E296="Limpeza de pele",E296="Peeling de diamante",E296="Microagulhamento"),"Rosto","Corpo"))</f>
        <v/>
      </c>
      <c r="G296" s="12"/>
      <c r="H296" s="12"/>
      <c r="I296" s="12"/>
      <c r="J296" s="14"/>
      <c r="K296" s="12"/>
      <c r="L296" s="14"/>
      <c r="M296" s="14"/>
      <c r="N296" s="12"/>
      <c r="O296" s="12"/>
      <c r="P296" s="15" t="str">
        <f aca="false">IF(M296="","",EDATE(M296,6))</f>
        <v/>
      </c>
      <c r="Q296" s="15" t="str">
        <f aca="false">IF(W296="","",IF(WEEKDAY(W296)=1,W296+1,W296))</f>
        <v/>
      </c>
      <c r="R296" s="13" t="str">
        <f aca="true">IF(Q296="","",IF(AND(N(K296)&gt;=3,G296&lt;&gt;"Perdido"),"Mover para Perdido",IF(Q296&lt;TODAY(),"Atrasado",IF(Q296=TODAY(),"Hoje","No prazo"))))</f>
        <v/>
      </c>
      <c r="S296" s="12"/>
      <c r="T296" s="12"/>
      <c r="U296" s="12"/>
      <c r="V296" s="7"/>
      <c r="W296" s="15" t="str">
        <f aca="true">IF(G296="","",IF(OR(G296="Novo contato",G296="Em conversa"),IF(J296="",TODAY(),J296+1),IF(G296="Avaliação marcada",IF(L296="",TODAY(),L296-1),IF(G296="Proposta enviada",IF(J296="",TODAY(),J296+2),IF(G296="Fechou pacote",IF(J296="",TODAY(),J296+7),IF(G296="Em tratamento",IF(M296="",TODAY(),IF(TODAY()&lt;=M296+1,M296+1,EDATE(M296,6)-30)),IF(G296="Pós-venda",IF(J296="",TODAY(),J296+7),IF(G296="Perdido",IF(J296="",TODAY(),J296+60),""))))))))</f>
        <v/>
      </c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3" t="str">
        <f aca="false">IF(OR(E297="",E297="A completar",E297="Ainda não sabe"),"",IF(OR(E297="Limpeza de pele",E297="Peeling de diamante",E297="Microagulhamento"),"Rosto","Corpo"))</f>
        <v/>
      </c>
      <c r="G297" s="12"/>
      <c r="H297" s="12"/>
      <c r="I297" s="12"/>
      <c r="J297" s="14"/>
      <c r="K297" s="12"/>
      <c r="L297" s="14"/>
      <c r="M297" s="14"/>
      <c r="N297" s="12"/>
      <c r="O297" s="12"/>
      <c r="P297" s="15" t="str">
        <f aca="false">IF(M297="","",EDATE(M297,6))</f>
        <v/>
      </c>
      <c r="Q297" s="15" t="str">
        <f aca="false">IF(W297="","",IF(WEEKDAY(W297)=1,W297+1,W297))</f>
        <v/>
      </c>
      <c r="R297" s="13" t="str">
        <f aca="true">IF(Q297="","",IF(AND(N(K297)&gt;=3,G297&lt;&gt;"Perdido"),"Mover para Perdido",IF(Q297&lt;TODAY(),"Atrasado",IF(Q297=TODAY(),"Hoje","No prazo"))))</f>
        <v/>
      </c>
      <c r="S297" s="12"/>
      <c r="T297" s="12"/>
      <c r="U297" s="12"/>
      <c r="V297" s="7"/>
      <c r="W297" s="15" t="str">
        <f aca="true">IF(G297="","",IF(OR(G297="Novo contato",G297="Em conversa"),IF(J297="",TODAY(),J297+1),IF(G297="Avaliação marcada",IF(L297="",TODAY(),L297-1),IF(G297="Proposta enviada",IF(J297="",TODAY(),J297+2),IF(G297="Fechou pacote",IF(J297="",TODAY(),J297+7),IF(G297="Em tratamento",IF(M297="",TODAY(),IF(TODAY()&lt;=M297+1,M297+1,EDATE(M297,6)-30)),IF(G297="Pós-venda",IF(J297="",TODAY(),J297+7),IF(G297="Perdido",IF(J297="",TODAY(),J297+60),""))))))))</f>
        <v/>
      </c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3" t="str">
        <f aca="false">IF(OR(E298="",E298="A completar",E298="Ainda não sabe"),"",IF(OR(E298="Limpeza de pele",E298="Peeling de diamante",E298="Microagulhamento"),"Rosto","Corpo"))</f>
        <v/>
      </c>
      <c r="G298" s="12"/>
      <c r="H298" s="12"/>
      <c r="I298" s="12"/>
      <c r="J298" s="14"/>
      <c r="K298" s="12"/>
      <c r="L298" s="14"/>
      <c r="M298" s="14"/>
      <c r="N298" s="12"/>
      <c r="O298" s="12"/>
      <c r="P298" s="15" t="str">
        <f aca="false">IF(M298="","",EDATE(M298,6))</f>
        <v/>
      </c>
      <c r="Q298" s="15" t="str">
        <f aca="false">IF(W298="","",IF(WEEKDAY(W298)=1,W298+1,W298))</f>
        <v/>
      </c>
      <c r="R298" s="13" t="str">
        <f aca="true">IF(Q298="","",IF(AND(N(K298)&gt;=3,G298&lt;&gt;"Perdido"),"Mover para Perdido",IF(Q298&lt;TODAY(),"Atrasado",IF(Q298=TODAY(),"Hoje","No prazo"))))</f>
        <v/>
      </c>
      <c r="S298" s="12"/>
      <c r="T298" s="12"/>
      <c r="U298" s="12"/>
      <c r="V298" s="7"/>
      <c r="W298" s="15" t="str">
        <f aca="true">IF(G298="","",IF(OR(G298="Novo contato",G298="Em conversa"),IF(J298="",TODAY(),J298+1),IF(G298="Avaliação marcada",IF(L298="",TODAY(),L298-1),IF(G298="Proposta enviada",IF(J298="",TODAY(),J298+2),IF(G298="Fechou pacote",IF(J298="",TODAY(),J298+7),IF(G298="Em tratamento",IF(M298="",TODAY(),IF(TODAY()&lt;=M298+1,M298+1,EDATE(M298,6)-30)),IF(G298="Pós-venda",IF(J298="",TODAY(),J298+7),IF(G298="Perdido",IF(J298="",TODAY(),J298+60),""))))))))</f>
        <v/>
      </c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3" t="str">
        <f aca="false">IF(OR(E299="",E299="A completar",E299="Ainda não sabe"),"",IF(OR(E299="Limpeza de pele",E299="Peeling de diamante",E299="Microagulhamento"),"Rosto","Corpo"))</f>
        <v/>
      </c>
      <c r="G299" s="12"/>
      <c r="H299" s="12"/>
      <c r="I299" s="12"/>
      <c r="J299" s="14"/>
      <c r="K299" s="12"/>
      <c r="L299" s="14"/>
      <c r="M299" s="14"/>
      <c r="N299" s="12"/>
      <c r="O299" s="12"/>
      <c r="P299" s="15" t="str">
        <f aca="false">IF(M299="","",EDATE(M299,6))</f>
        <v/>
      </c>
      <c r="Q299" s="15" t="str">
        <f aca="false">IF(W299="","",IF(WEEKDAY(W299)=1,W299+1,W299))</f>
        <v/>
      </c>
      <c r="R299" s="13" t="str">
        <f aca="true">IF(Q299="","",IF(AND(N(K299)&gt;=3,G299&lt;&gt;"Perdido"),"Mover para Perdido",IF(Q299&lt;TODAY(),"Atrasado",IF(Q299=TODAY(),"Hoje","No prazo"))))</f>
        <v/>
      </c>
      <c r="S299" s="12"/>
      <c r="T299" s="12"/>
      <c r="U299" s="12"/>
      <c r="V299" s="7"/>
      <c r="W299" s="15" t="str">
        <f aca="true">IF(G299="","",IF(OR(G299="Novo contato",G299="Em conversa"),IF(J299="",TODAY(),J299+1),IF(G299="Avaliação marcada",IF(L299="",TODAY(),L299-1),IF(G299="Proposta enviada",IF(J299="",TODAY(),J299+2),IF(G299="Fechou pacote",IF(J299="",TODAY(),J299+7),IF(G299="Em tratamento",IF(M299="",TODAY(),IF(TODAY()&lt;=M299+1,M299+1,EDATE(M299,6)-30)),IF(G299="Pós-venda",IF(J299="",TODAY(),J299+7),IF(G299="Perdido",IF(J299="",TODAY(),J299+60),""))))))))</f>
        <v/>
      </c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3" t="str">
        <f aca="false">IF(OR(E300="",E300="A completar",E300="Ainda não sabe"),"",IF(OR(E300="Limpeza de pele",E300="Peeling de diamante",E300="Microagulhamento"),"Rosto","Corpo"))</f>
        <v/>
      </c>
      <c r="G300" s="12"/>
      <c r="H300" s="12"/>
      <c r="I300" s="12"/>
      <c r="J300" s="14"/>
      <c r="K300" s="12"/>
      <c r="L300" s="14"/>
      <c r="M300" s="14"/>
      <c r="N300" s="12"/>
      <c r="O300" s="12"/>
      <c r="P300" s="15" t="str">
        <f aca="false">IF(M300="","",EDATE(M300,6))</f>
        <v/>
      </c>
      <c r="Q300" s="15" t="str">
        <f aca="false">IF(W300="","",IF(WEEKDAY(W300)=1,W300+1,W300))</f>
        <v/>
      </c>
      <c r="R300" s="13" t="str">
        <f aca="true">IF(Q300="","",IF(AND(N(K300)&gt;=3,G300&lt;&gt;"Perdido"),"Mover para Perdido",IF(Q300&lt;TODAY(),"Atrasado",IF(Q300=TODAY(),"Hoje","No prazo"))))</f>
        <v/>
      </c>
      <c r="S300" s="12"/>
      <c r="T300" s="12"/>
      <c r="U300" s="12"/>
      <c r="V300" s="7"/>
      <c r="W300" s="15" t="str">
        <f aca="true">IF(G300="","",IF(OR(G300="Novo contato",G300="Em conversa"),IF(J300="",TODAY(),J300+1),IF(G300="Avaliação marcada",IF(L300="",TODAY(),L300-1),IF(G300="Proposta enviada",IF(J300="",TODAY(),J300+2),IF(G300="Fechou pacote",IF(J300="",TODAY(),J300+7),IF(G300="Em tratamento",IF(M300="",TODAY(),IF(TODAY()&lt;=M300+1,M300+1,EDATE(M300,6)-30)),IF(G300="Pós-venda",IF(J300="",TODAY(),J300+7),IF(G300="Perdido",IF(J300="",TODAY(),J300+60),""))))))))</f>
        <v/>
      </c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3" t="str">
        <f aca="false">IF(OR(E301="",E301="A completar",E301="Ainda não sabe"),"",IF(OR(E301="Limpeza de pele",E301="Peeling de diamante",E301="Microagulhamento"),"Rosto","Corpo"))</f>
        <v/>
      </c>
      <c r="G301" s="12"/>
      <c r="H301" s="12"/>
      <c r="I301" s="12"/>
      <c r="J301" s="14"/>
      <c r="K301" s="12"/>
      <c r="L301" s="14"/>
      <c r="M301" s="14"/>
      <c r="N301" s="12"/>
      <c r="O301" s="12"/>
      <c r="P301" s="15" t="str">
        <f aca="false">IF(M301="","",EDATE(M301,6))</f>
        <v/>
      </c>
      <c r="Q301" s="15" t="str">
        <f aca="false">IF(W301="","",IF(WEEKDAY(W301)=1,W301+1,W301))</f>
        <v/>
      </c>
      <c r="R301" s="13" t="str">
        <f aca="true">IF(Q301="","",IF(AND(N(K301)&gt;=3,G301&lt;&gt;"Perdido"),"Mover para Perdido",IF(Q301&lt;TODAY(),"Atrasado",IF(Q301=TODAY(),"Hoje","No prazo"))))</f>
        <v/>
      </c>
      <c r="S301" s="12"/>
      <c r="T301" s="12"/>
      <c r="U301" s="12"/>
      <c r="V301" s="7"/>
      <c r="W301" s="15" t="str">
        <f aca="true">IF(G301="","",IF(OR(G301="Novo contato",G301="Em conversa"),IF(J301="",TODAY(),J301+1),IF(G301="Avaliação marcada",IF(L301="",TODAY(),L301-1),IF(G301="Proposta enviada",IF(J301="",TODAY(),J301+2),IF(G301="Fechou pacote",IF(J301="",TODAY(),J301+7),IF(G301="Em tratamento",IF(M301="",TODAY(),IF(TODAY()&lt;=M301+1,M301+1,EDATE(M301,6)-30)),IF(G301="Pós-venda",IF(J301="",TODAY(),J301+7),IF(G301="Perdido",IF(J301="",TODAY(),J301+60),""))))))))</f>
        <v/>
      </c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3" t="str">
        <f aca="false">IF(OR(E302="",E302="A completar",E302="Ainda não sabe"),"",IF(OR(E302="Limpeza de pele",E302="Peeling de diamante",E302="Microagulhamento"),"Rosto","Corpo"))</f>
        <v/>
      </c>
      <c r="G302" s="12"/>
      <c r="H302" s="12"/>
      <c r="I302" s="12"/>
      <c r="J302" s="14"/>
      <c r="K302" s="12"/>
      <c r="L302" s="14"/>
      <c r="M302" s="14"/>
      <c r="N302" s="12"/>
      <c r="O302" s="12"/>
      <c r="P302" s="15" t="str">
        <f aca="false">IF(M302="","",EDATE(M302,6))</f>
        <v/>
      </c>
      <c r="Q302" s="15" t="str">
        <f aca="false">IF(W302="","",IF(WEEKDAY(W302)=1,W302+1,W302))</f>
        <v/>
      </c>
      <c r="R302" s="13" t="str">
        <f aca="true">IF(Q302="","",IF(AND(N(K302)&gt;=3,G302&lt;&gt;"Perdido"),"Mover para Perdido",IF(Q302&lt;TODAY(),"Atrasado",IF(Q302=TODAY(),"Hoje","No prazo"))))</f>
        <v/>
      </c>
      <c r="S302" s="12"/>
      <c r="T302" s="12"/>
      <c r="U302" s="12"/>
      <c r="V302" s="7"/>
      <c r="W302" s="15" t="str">
        <f aca="true">IF(G302="","",IF(OR(G302="Novo contato",G302="Em conversa"),IF(J302="",TODAY(),J302+1),IF(G302="Avaliação marcada",IF(L302="",TODAY(),L302-1),IF(G302="Proposta enviada",IF(J302="",TODAY(),J302+2),IF(G302="Fechou pacote",IF(J302="",TODAY(),J302+7),IF(G302="Em tratamento",IF(M302="",TODAY(),IF(TODAY()&lt;=M302+1,M302+1,EDATE(M302,6)-30)),IF(G302="Pós-venda",IF(J302="",TODAY(),J302+7),IF(G302="Perdido",IF(J302="",TODAY(),J302+60),""))))))))</f>
        <v/>
      </c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3" t="str">
        <f aca="false">IF(OR(E303="",E303="A completar",E303="Ainda não sabe"),"",IF(OR(E303="Limpeza de pele",E303="Peeling de diamante",E303="Microagulhamento"),"Rosto","Corpo"))</f>
        <v/>
      </c>
      <c r="G303" s="12"/>
      <c r="H303" s="12"/>
      <c r="I303" s="12"/>
      <c r="J303" s="14"/>
      <c r="K303" s="12"/>
      <c r="L303" s="14"/>
      <c r="M303" s="14"/>
      <c r="N303" s="12"/>
      <c r="O303" s="12"/>
      <c r="P303" s="15" t="str">
        <f aca="false">IF(M303="","",EDATE(M303,6))</f>
        <v/>
      </c>
      <c r="Q303" s="15" t="str">
        <f aca="false">IF(W303="","",IF(WEEKDAY(W303)=1,W303+1,W303))</f>
        <v/>
      </c>
      <c r="R303" s="13" t="str">
        <f aca="true">IF(Q303="","",IF(AND(N(K303)&gt;=3,G303&lt;&gt;"Perdido"),"Mover para Perdido",IF(Q303&lt;TODAY(),"Atrasado",IF(Q303=TODAY(),"Hoje","No prazo"))))</f>
        <v/>
      </c>
      <c r="S303" s="12"/>
      <c r="T303" s="12"/>
      <c r="U303" s="12"/>
      <c r="V303" s="7"/>
      <c r="W303" s="15" t="str">
        <f aca="true">IF(G303="","",IF(OR(G303="Novo contato",G303="Em conversa"),IF(J303="",TODAY(),J303+1),IF(G303="Avaliação marcada",IF(L303="",TODAY(),L303-1),IF(G303="Proposta enviada",IF(J303="",TODAY(),J303+2),IF(G303="Fechou pacote",IF(J303="",TODAY(),J303+7),IF(G303="Em tratamento",IF(M303="",TODAY(),IF(TODAY()&lt;=M303+1,M303+1,EDATE(M303,6)-30)),IF(G303="Pós-venda",IF(J303="",TODAY(),J303+7),IF(G303="Perdido",IF(J303="",TODAY(),J303+60),""))))))))</f>
        <v/>
      </c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3" t="str">
        <f aca="false">IF(OR(E304="",E304="A completar",E304="Ainda não sabe"),"",IF(OR(E304="Limpeza de pele",E304="Peeling de diamante",E304="Microagulhamento"),"Rosto","Corpo"))</f>
        <v/>
      </c>
      <c r="G304" s="12"/>
      <c r="H304" s="12"/>
      <c r="I304" s="12"/>
      <c r="J304" s="14"/>
      <c r="K304" s="12"/>
      <c r="L304" s="14"/>
      <c r="M304" s="14"/>
      <c r="N304" s="12"/>
      <c r="O304" s="12"/>
      <c r="P304" s="15" t="str">
        <f aca="false">IF(M304="","",EDATE(M304,6))</f>
        <v/>
      </c>
      <c r="Q304" s="15" t="str">
        <f aca="false">IF(W304="","",IF(WEEKDAY(W304)=1,W304+1,W304))</f>
        <v/>
      </c>
      <c r="R304" s="13" t="str">
        <f aca="true">IF(Q304="","",IF(AND(N(K304)&gt;=3,G304&lt;&gt;"Perdido"),"Mover para Perdido",IF(Q304&lt;TODAY(),"Atrasado",IF(Q304=TODAY(),"Hoje","No prazo"))))</f>
        <v/>
      </c>
      <c r="S304" s="12"/>
      <c r="T304" s="12"/>
      <c r="U304" s="12"/>
      <c r="V304" s="7"/>
      <c r="W304" s="15" t="str">
        <f aca="true">IF(G304="","",IF(OR(G304="Novo contato",G304="Em conversa"),IF(J304="",TODAY(),J304+1),IF(G304="Avaliação marcada",IF(L304="",TODAY(),L304-1),IF(G304="Proposta enviada",IF(J304="",TODAY(),J304+2),IF(G304="Fechou pacote",IF(J304="",TODAY(),J304+7),IF(G304="Em tratamento",IF(M304="",TODAY(),IF(TODAY()&lt;=M304+1,M304+1,EDATE(M304,6)-30)),IF(G304="Pós-venda",IF(J304="",TODAY(),J304+7),IF(G304="Perdido",IF(J304="",TODAY(),J304+60),""))))))))</f>
        <v/>
      </c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3" t="str">
        <f aca="false">IF(OR(E305="",E305="A completar",E305="Ainda não sabe"),"",IF(OR(E305="Limpeza de pele",E305="Peeling de diamante",E305="Microagulhamento"),"Rosto","Corpo"))</f>
        <v/>
      </c>
      <c r="G305" s="12"/>
      <c r="H305" s="12"/>
      <c r="I305" s="12"/>
      <c r="J305" s="14"/>
      <c r="K305" s="12"/>
      <c r="L305" s="14"/>
      <c r="M305" s="14"/>
      <c r="N305" s="12"/>
      <c r="O305" s="12"/>
      <c r="P305" s="15" t="str">
        <f aca="false">IF(M305="","",EDATE(M305,6))</f>
        <v/>
      </c>
      <c r="Q305" s="15" t="str">
        <f aca="false">IF(W305="","",IF(WEEKDAY(W305)=1,W305+1,W305))</f>
        <v/>
      </c>
      <c r="R305" s="13" t="str">
        <f aca="true">IF(Q305="","",IF(AND(N(K305)&gt;=3,G305&lt;&gt;"Perdido"),"Mover para Perdido",IF(Q305&lt;TODAY(),"Atrasado",IF(Q305=TODAY(),"Hoje","No prazo"))))</f>
        <v/>
      </c>
      <c r="S305" s="12"/>
      <c r="T305" s="12"/>
      <c r="U305" s="12"/>
      <c r="V305" s="7"/>
      <c r="W305" s="15" t="str">
        <f aca="true">IF(G305="","",IF(OR(G305="Novo contato",G305="Em conversa"),IF(J305="",TODAY(),J305+1),IF(G305="Avaliação marcada",IF(L305="",TODAY(),L305-1),IF(G305="Proposta enviada",IF(J305="",TODAY(),J305+2),IF(G305="Fechou pacote",IF(J305="",TODAY(),J305+7),IF(G305="Em tratamento",IF(M305="",TODAY(),IF(TODAY()&lt;=M305+1,M305+1,EDATE(M305,6)-30)),IF(G305="Pós-venda",IF(J305="",TODAY(),J305+7),IF(G305="Perdido",IF(J305="",TODAY(),J305+60),""))))))))</f>
        <v/>
      </c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3" t="str">
        <f aca="false">IF(OR(E306="",E306="A completar",E306="Ainda não sabe"),"",IF(OR(E306="Limpeza de pele",E306="Peeling de diamante",E306="Microagulhamento"),"Rosto","Corpo"))</f>
        <v/>
      </c>
      <c r="G306" s="12"/>
      <c r="H306" s="12"/>
      <c r="I306" s="12"/>
      <c r="J306" s="14"/>
      <c r="K306" s="12"/>
      <c r="L306" s="14"/>
      <c r="M306" s="14"/>
      <c r="N306" s="12"/>
      <c r="O306" s="12"/>
      <c r="P306" s="15" t="str">
        <f aca="false">IF(M306="","",EDATE(M306,6))</f>
        <v/>
      </c>
      <c r="Q306" s="15" t="str">
        <f aca="false">IF(W306="","",IF(WEEKDAY(W306)=1,W306+1,W306))</f>
        <v/>
      </c>
      <c r="R306" s="13" t="str">
        <f aca="true">IF(Q306="","",IF(AND(N(K306)&gt;=3,G306&lt;&gt;"Perdido"),"Mover para Perdido",IF(Q306&lt;TODAY(),"Atrasado",IF(Q306=TODAY(),"Hoje","No prazo"))))</f>
        <v/>
      </c>
      <c r="S306" s="12"/>
      <c r="T306" s="12"/>
      <c r="U306" s="12"/>
      <c r="V306" s="7"/>
      <c r="W306" s="15" t="str">
        <f aca="true">IF(G306="","",IF(OR(G306="Novo contato",G306="Em conversa"),IF(J306="",TODAY(),J306+1),IF(G306="Avaliação marcada",IF(L306="",TODAY(),L306-1),IF(G306="Proposta enviada",IF(J306="",TODAY(),J306+2),IF(G306="Fechou pacote",IF(J306="",TODAY(),J306+7),IF(G306="Em tratamento",IF(M306="",TODAY(),IF(TODAY()&lt;=M306+1,M306+1,EDATE(M306,6)-30)),IF(G306="Pós-venda",IF(J306="",TODAY(),J306+7),IF(G306="Perdido",IF(J306="",TODAY(),J306+60),""))))))))</f>
        <v/>
      </c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3" t="str">
        <f aca="false">IF(OR(E307="",E307="A completar",E307="Ainda não sabe"),"",IF(OR(E307="Limpeza de pele",E307="Peeling de diamante",E307="Microagulhamento"),"Rosto","Corpo"))</f>
        <v/>
      </c>
      <c r="G307" s="12"/>
      <c r="H307" s="12"/>
      <c r="I307" s="12"/>
      <c r="J307" s="14"/>
      <c r="K307" s="12"/>
      <c r="L307" s="14"/>
      <c r="M307" s="14"/>
      <c r="N307" s="12"/>
      <c r="O307" s="12"/>
      <c r="P307" s="15" t="str">
        <f aca="false">IF(M307="","",EDATE(M307,6))</f>
        <v/>
      </c>
      <c r="Q307" s="15" t="str">
        <f aca="false">IF(W307="","",IF(WEEKDAY(W307)=1,W307+1,W307))</f>
        <v/>
      </c>
      <c r="R307" s="13" t="str">
        <f aca="true">IF(Q307="","",IF(AND(N(K307)&gt;=3,G307&lt;&gt;"Perdido"),"Mover para Perdido",IF(Q307&lt;TODAY(),"Atrasado",IF(Q307=TODAY(),"Hoje","No prazo"))))</f>
        <v/>
      </c>
      <c r="S307" s="12"/>
      <c r="T307" s="12"/>
      <c r="U307" s="12"/>
      <c r="V307" s="7"/>
      <c r="W307" s="15" t="str">
        <f aca="true">IF(G307="","",IF(OR(G307="Novo contato",G307="Em conversa"),IF(J307="",TODAY(),J307+1),IF(G307="Avaliação marcada",IF(L307="",TODAY(),L307-1),IF(G307="Proposta enviada",IF(J307="",TODAY(),J307+2),IF(G307="Fechou pacote",IF(J307="",TODAY(),J307+7),IF(G307="Em tratamento",IF(M307="",TODAY(),IF(TODAY()&lt;=M307+1,M307+1,EDATE(M307,6)-30)),IF(G307="Pós-venda",IF(J307="",TODAY(),J307+7),IF(G307="Perdido",IF(J307="",TODAY(),J307+60),""))))))))</f>
        <v/>
      </c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3" t="str">
        <f aca="false">IF(OR(E308="",E308="A completar",E308="Ainda não sabe"),"",IF(OR(E308="Limpeza de pele",E308="Peeling de diamante",E308="Microagulhamento"),"Rosto","Corpo"))</f>
        <v/>
      </c>
      <c r="G308" s="12"/>
      <c r="H308" s="12"/>
      <c r="I308" s="12"/>
      <c r="J308" s="14"/>
      <c r="K308" s="12"/>
      <c r="L308" s="14"/>
      <c r="M308" s="14"/>
      <c r="N308" s="12"/>
      <c r="O308" s="12"/>
      <c r="P308" s="15" t="str">
        <f aca="false">IF(M308="","",EDATE(M308,6))</f>
        <v/>
      </c>
      <c r="Q308" s="15" t="str">
        <f aca="false">IF(W308="","",IF(WEEKDAY(W308)=1,W308+1,W308))</f>
        <v/>
      </c>
      <c r="R308" s="13" t="str">
        <f aca="true">IF(Q308="","",IF(AND(N(K308)&gt;=3,G308&lt;&gt;"Perdido"),"Mover para Perdido",IF(Q308&lt;TODAY(),"Atrasado",IF(Q308=TODAY(),"Hoje","No prazo"))))</f>
        <v/>
      </c>
      <c r="S308" s="12"/>
      <c r="T308" s="12"/>
      <c r="U308" s="12"/>
      <c r="V308" s="7"/>
      <c r="W308" s="15" t="str">
        <f aca="true">IF(G308="","",IF(OR(G308="Novo contato",G308="Em conversa"),IF(J308="",TODAY(),J308+1),IF(G308="Avaliação marcada",IF(L308="",TODAY(),L308-1),IF(G308="Proposta enviada",IF(J308="",TODAY(),J308+2),IF(G308="Fechou pacote",IF(J308="",TODAY(),J308+7),IF(G308="Em tratamento",IF(M308="",TODAY(),IF(TODAY()&lt;=M308+1,M308+1,EDATE(M308,6)-30)),IF(G308="Pós-venda",IF(J308="",TODAY(),J308+7),IF(G308="Perdido",IF(J308="",TODAY(),J308+60),""))))))))</f>
        <v/>
      </c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3" t="str">
        <f aca="false">IF(OR(E309="",E309="A completar",E309="Ainda não sabe"),"",IF(OR(E309="Limpeza de pele",E309="Peeling de diamante",E309="Microagulhamento"),"Rosto","Corpo"))</f>
        <v/>
      </c>
      <c r="G309" s="12"/>
      <c r="H309" s="12"/>
      <c r="I309" s="12"/>
      <c r="J309" s="14"/>
      <c r="K309" s="12"/>
      <c r="L309" s="14"/>
      <c r="M309" s="14"/>
      <c r="N309" s="12"/>
      <c r="O309" s="12"/>
      <c r="P309" s="15" t="str">
        <f aca="false">IF(M309="","",EDATE(M309,6))</f>
        <v/>
      </c>
      <c r="Q309" s="15" t="str">
        <f aca="false">IF(W309="","",IF(WEEKDAY(W309)=1,W309+1,W309))</f>
        <v/>
      </c>
      <c r="R309" s="13" t="str">
        <f aca="true">IF(Q309="","",IF(AND(N(K309)&gt;=3,G309&lt;&gt;"Perdido"),"Mover para Perdido",IF(Q309&lt;TODAY(),"Atrasado",IF(Q309=TODAY(),"Hoje","No prazo"))))</f>
        <v/>
      </c>
      <c r="S309" s="12"/>
      <c r="T309" s="12"/>
      <c r="U309" s="12"/>
      <c r="V309" s="7"/>
      <c r="W309" s="15" t="str">
        <f aca="true">IF(G309="","",IF(OR(G309="Novo contato",G309="Em conversa"),IF(J309="",TODAY(),J309+1),IF(G309="Avaliação marcada",IF(L309="",TODAY(),L309-1),IF(G309="Proposta enviada",IF(J309="",TODAY(),J309+2),IF(G309="Fechou pacote",IF(J309="",TODAY(),J309+7),IF(G309="Em tratamento",IF(M309="",TODAY(),IF(TODAY()&lt;=M309+1,M309+1,EDATE(M309,6)-30)),IF(G309="Pós-venda",IF(J309="",TODAY(),J309+7),IF(G309="Perdido",IF(J309="",TODAY(),J309+60),""))))))))</f>
        <v/>
      </c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3" t="str">
        <f aca="false">IF(OR(E310="",E310="A completar",E310="Ainda não sabe"),"",IF(OR(E310="Limpeza de pele",E310="Peeling de diamante",E310="Microagulhamento"),"Rosto","Corpo"))</f>
        <v/>
      </c>
      <c r="G310" s="12"/>
      <c r="H310" s="12"/>
      <c r="I310" s="12"/>
      <c r="J310" s="14"/>
      <c r="K310" s="12"/>
      <c r="L310" s="14"/>
      <c r="M310" s="14"/>
      <c r="N310" s="12"/>
      <c r="O310" s="12"/>
      <c r="P310" s="15" t="str">
        <f aca="false">IF(M310="","",EDATE(M310,6))</f>
        <v/>
      </c>
      <c r="Q310" s="15" t="str">
        <f aca="false">IF(W310="","",IF(WEEKDAY(W310)=1,W310+1,W310))</f>
        <v/>
      </c>
      <c r="R310" s="13" t="str">
        <f aca="true">IF(Q310="","",IF(AND(N(K310)&gt;=3,G310&lt;&gt;"Perdido"),"Mover para Perdido",IF(Q310&lt;TODAY(),"Atrasado",IF(Q310=TODAY(),"Hoje","No prazo"))))</f>
        <v/>
      </c>
      <c r="S310" s="12"/>
      <c r="T310" s="12"/>
      <c r="U310" s="12"/>
      <c r="V310" s="7"/>
      <c r="W310" s="15" t="str">
        <f aca="true">IF(G310="","",IF(OR(G310="Novo contato",G310="Em conversa"),IF(J310="",TODAY(),J310+1),IF(G310="Avaliação marcada",IF(L310="",TODAY(),L310-1),IF(G310="Proposta enviada",IF(J310="",TODAY(),J310+2),IF(G310="Fechou pacote",IF(J310="",TODAY(),J310+7),IF(G310="Em tratamento",IF(M310="",TODAY(),IF(TODAY()&lt;=M310+1,M310+1,EDATE(M310,6)-30)),IF(G310="Pós-venda",IF(J310="",TODAY(),J310+7),IF(G310="Perdido",IF(J310="",TODAY(),J310+60),""))))))))</f>
        <v/>
      </c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3" t="str">
        <f aca="false">IF(OR(E311="",E311="A completar",E311="Ainda não sabe"),"",IF(OR(E311="Limpeza de pele",E311="Peeling de diamante",E311="Microagulhamento"),"Rosto","Corpo"))</f>
        <v/>
      </c>
      <c r="G311" s="12"/>
      <c r="H311" s="12"/>
      <c r="I311" s="12"/>
      <c r="J311" s="14"/>
      <c r="K311" s="12"/>
      <c r="L311" s="14"/>
      <c r="M311" s="14"/>
      <c r="N311" s="12"/>
      <c r="O311" s="12"/>
      <c r="P311" s="15" t="str">
        <f aca="false">IF(M311="","",EDATE(M311,6))</f>
        <v/>
      </c>
      <c r="Q311" s="15" t="str">
        <f aca="false">IF(W311="","",IF(WEEKDAY(W311)=1,W311+1,W311))</f>
        <v/>
      </c>
      <c r="R311" s="13" t="str">
        <f aca="true">IF(Q311="","",IF(AND(N(K311)&gt;=3,G311&lt;&gt;"Perdido"),"Mover para Perdido",IF(Q311&lt;TODAY(),"Atrasado",IF(Q311=TODAY(),"Hoje","No prazo"))))</f>
        <v/>
      </c>
      <c r="S311" s="12"/>
      <c r="T311" s="12"/>
      <c r="U311" s="12"/>
      <c r="V311" s="7"/>
      <c r="W311" s="15" t="str">
        <f aca="true">IF(G311="","",IF(OR(G311="Novo contato",G311="Em conversa"),IF(J311="",TODAY(),J311+1),IF(G311="Avaliação marcada",IF(L311="",TODAY(),L311-1),IF(G311="Proposta enviada",IF(J311="",TODAY(),J311+2),IF(G311="Fechou pacote",IF(J311="",TODAY(),J311+7),IF(G311="Em tratamento",IF(M311="",TODAY(),IF(TODAY()&lt;=M311+1,M311+1,EDATE(M311,6)-30)),IF(G311="Pós-venda",IF(J311="",TODAY(),J311+7),IF(G311="Perdido",IF(J311="",TODAY(),J311+60),""))))))))</f>
        <v/>
      </c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3" t="str">
        <f aca="false">IF(OR(E312="",E312="A completar",E312="Ainda não sabe"),"",IF(OR(E312="Limpeza de pele",E312="Peeling de diamante",E312="Microagulhamento"),"Rosto","Corpo"))</f>
        <v/>
      </c>
      <c r="G312" s="12"/>
      <c r="H312" s="12"/>
      <c r="I312" s="12"/>
      <c r="J312" s="14"/>
      <c r="K312" s="12"/>
      <c r="L312" s="14"/>
      <c r="M312" s="14"/>
      <c r="N312" s="12"/>
      <c r="O312" s="12"/>
      <c r="P312" s="15" t="str">
        <f aca="false">IF(M312="","",EDATE(M312,6))</f>
        <v/>
      </c>
      <c r="Q312" s="15" t="str">
        <f aca="false">IF(W312="","",IF(WEEKDAY(W312)=1,W312+1,W312))</f>
        <v/>
      </c>
      <c r="R312" s="13" t="str">
        <f aca="true">IF(Q312="","",IF(AND(N(K312)&gt;=3,G312&lt;&gt;"Perdido"),"Mover para Perdido",IF(Q312&lt;TODAY(),"Atrasado",IF(Q312=TODAY(),"Hoje","No prazo"))))</f>
        <v/>
      </c>
      <c r="S312" s="12"/>
      <c r="T312" s="12"/>
      <c r="U312" s="12"/>
      <c r="V312" s="7"/>
      <c r="W312" s="15" t="str">
        <f aca="true">IF(G312="","",IF(OR(G312="Novo contato",G312="Em conversa"),IF(J312="",TODAY(),J312+1),IF(G312="Avaliação marcada",IF(L312="",TODAY(),L312-1),IF(G312="Proposta enviada",IF(J312="",TODAY(),J312+2),IF(G312="Fechou pacote",IF(J312="",TODAY(),J312+7),IF(G312="Em tratamento",IF(M312="",TODAY(),IF(TODAY()&lt;=M312+1,M312+1,EDATE(M312,6)-30)),IF(G312="Pós-venda",IF(J312="",TODAY(),J312+7),IF(G312="Perdido",IF(J312="",TODAY(),J312+60),""))))))))</f>
        <v/>
      </c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3" t="str">
        <f aca="false">IF(OR(E313="",E313="A completar",E313="Ainda não sabe"),"",IF(OR(E313="Limpeza de pele",E313="Peeling de diamante",E313="Microagulhamento"),"Rosto","Corpo"))</f>
        <v/>
      </c>
      <c r="G313" s="12"/>
      <c r="H313" s="12"/>
      <c r="I313" s="12"/>
      <c r="J313" s="14"/>
      <c r="K313" s="12"/>
      <c r="L313" s="14"/>
      <c r="M313" s="14"/>
      <c r="N313" s="12"/>
      <c r="O313" s="12"/>
      <c r="P313" s="15" t="str">
        <f aca="false">IF(M313="","",EDATE(M313,6))</f>
        <v/>
      </c>
      <c r="Q313" s="15" t="str">
        <f aca="false">IF(W313="","",IF(WEEKDAY(W313)=1,W313+1,W313))</f>
        <v/>
      </c>
      <c r="R313" s="13" t="str">
        <f aca="true">IF(Q313="","",IF(AND(N(K313)&gt;=3,G313&lt;&gt;"Perdido"),"Mover para Perdido",IF(Q313&lt;TODAY(),"Atrasado",IF(Q313=TODAY(),"Hoje","No prazo"))))</f>
        <v/>
      </c>
      <c r="S313" s="12"/>
      <c r="T313" s="12"/>
      <c r="U313" s="12"/>
      <c r="V313" s="7"/>
      <c r="W313" s="15" t="str">
        <f aca="true">IF(G313="","",IF(OR(G313="Novo contato",G313="Em conversa"),IF(J313="",TODAY(),J313+1),IF(G313="Avaliação marcada",IF(L313="",TODAY(),L313-1),IF(G313="Proposta enviada",IF(J313="",TODAY(),J313+2),IF(G313="Fechou pacote",IF(J313="",TODAY(),J313+7),IF(G313="Em tratamento",IF(M313="",TODAY(),IF(TODAY()&lt;=M313+1,M313+1,EDATE(M313,6)-30)),IF(G313="Pós-venda",IF(J313="",TODAY(),J313+7),IF(G313="Perdido",IF(J313="",TODAY(),J313+60),""))))))))</f>
        <v/>
      </c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3" t="str">
        <f aca="false">IF(OR(E314="",E314="A completar",E314="Ainda não sabe"),"",IF(OR(E314="Limpeza de pele",E314="Peeling de diamante",E314="Microagulhamento"),"Rosto","Corpo"))</f>
        <v/>
      </c>
      <c r="G314" s="12"/>
      <c r="H314" s="12"/>
      <c r="I314" s="12"/>
      <c r="J314" s="14"/>
      <c r="K314" s="12"/>
      <c r="L314" s="14"/>
      <c r="M314" s="14"/>
      <c r="N314" s="12"/>
      <c r="O314" s="12"/>
      <c r="P314" s="15" t="str">
        <f aca="false">IF(M314="","",EDATE(M314,6))</f>
        <v/>
      </c>
      <c r="Q314" s="15" t="str">
        <f aca="false">IF(W314="","",IF(WEEKDAY(W314)=1,W314+1,W314))</f>
        <v/>
      </c>
      <c r="R314" s="13" t="str">
        <f aca="true">IF(Q314="","",IF(AND(N(K314)&gt;=3,G314&lt;&gt;"Perdido"),"Mover para Perdido",IF(Q314&lt;TODAY(),"Atrasado",IF(Q314=TODAY(),"Hoje","No prazo"))))</f>
        <v/>
      </c>
      <c r="S314" s="12"/>
      <c r="T314" s="12"/>
      <c r="U314" s="12"/>
      <c r="V314" s="7"/>
      <c r="W314" s="15" t="str">
        <f aca="true">IF(G314="","",IF(OR(G314="Novo contato",G314="Em conversa"),IF(J314="",TODAY(),J314+1),IF(G314="Avaliação marcada",IF(L314="",TODAY(),L314-1),IF(G314="Proposta enviada",IF(J314="",TODAY(),J314+2),IF(G314="Fechou pacote",IF(J314="",TODAY(),J314+7),IF(G314="Em tratamento",IF(M314="",TODAY(),IF(TODAY()&lt;=M314+1,M314+1,EDATE(M314,6)-30)),IF(G314="Pós-venda",IF(J314="",TODAY(),J314+7),IF(G314="Perdido",IF(J314="",TODAY(),J314+60),""))))))))</f>
        <v/>
      </c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3" t="str">
        <f aca="false">IF(OR(E315="",E315="A completar",E315="Ainda não sabe"),"",IF(OR(E315="Limpeza de pele",E315="Peeling de diamante",E315="Microagulhamento"),"Rosto","Corpo"))</f>
        <v/>
      </c>
      <c r="G315" s="12"/>
      <c r="H315" s="12"/>
      <c r="I315" s="12"/>
      <c r="J315" s="14"/>
      <c r="K315" s="12"/>
      <c r="L315" s="14"/>
      <c r="M315" s="14"/>
      <c r="N315" s="12"/>
      <c r="O315" s="12"/>
      <c r="P315" s="15" t="str">
        <f aca="false">IF(M315="","",EDATE(M315,6))</f>
        <v/>
      </c>
      <c r="Q315" s="15" t="str">
        <f aca="false">IF(W315="","",IF(WEEKDAY(W315)=1,W315+1,W315))</f>
        <v/>
      </c>
      <c r="R315" s="13" t="str">
        <f aca="true">IF(Q315="","",IF(AND(N(K315)&gt;=3,G315&lt;&gt;"Perdido"),"Mover para Perdido",IF(Q315&lt;TODAY(),"Atrasado",IF(Q315=TODAY(),"Hoje","No prazo"))))</f>
        <v/>
      </c>
      <c r="S315" s="12"/>
      <c r="T315" s="12"/>
      <c r="U315" s="12"/>
      <c r="V315" s="7"/>
      <c r="W315" s="15" t="str">
        <f aca="true">IF(G315="","",IF(OR(G315="Novo contato",G315="Em conversa"),IF(J315="",TODAY(),J315+1),IF(G315="Avaliação marcada",IF(L315="",TODAY(),L315-1),IF(G315="Proposta enviada",IF(J315="",TODAY(),J315+2),IF(G315="Fechou pacote",IF(J315="",TODAY(),J315+7),IF(G315="Em tratamento",IF(M315="",TODAY(),IF(TODAY()&lt;=M315+1,M315+1,EDATE(M315,6)-30)),IF(G315="Pós-venda",IF(J315="",TODAY(),J315+7),IF(G315="Perdido",IF(J315="",TODAY(),J315+60),""))))))))</f>
        <v/>
      </c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3" t="str">
        <f aca="false">IF(OR(E316="",E316="A completar",E316="Ainda não sabe"),"",IF(OR(E316="Limpeza de pele",E316="Peeling de diamante",E316="Microagulhamento"),"Rosto","Corpo"))</f>
        <v/>
      </c>
      <c r="G316" s="12"/>
      <c r="H316" s="12"/>
      <c r="I316" s="12"/>
      <c r="J316" s="14"/>
      <c r="K316" s="12"/>
      <c r="L316" s="14"/>
      <c r="M316" s="14"/>
      <c r="N316" s="12"/>
      <c r="O316" s="12"/>
      <c r="P316" s="15" t="str">
        <f aca="false">IF(M316="","",EDATE(M316,6))</f>
        <v/>
      </c>
      <c r="Q316" s="15" t="str">
        <f aca="false">IF(W316="","",IF(WEEKDAY(W316)=1,W316+1,W316))</f>
        <v/>
      </c>
      <c r="R316" s="13" t="str">
        <f aca="true">IF(Q316="","",IF(AND(N(K316)&gt;=3,G316&lt;&gt;"Perdido"),"Mover para Perdido",IF(Q316&lt;TODAY(),"Atrasado",IF(Q316=TODAY(),"Hoje","No prazo"))))</f>
        <v/>
      </c>
      <c r="S316" s="12"/>
      <c r="T316" s="12"/>
      <c r="U316" s="12"/>
      <c r="V316" s="7"/>
      <c r="W316" s="15" t="str">
        <f aca="true">IF(G316="","",IF(OR(G316="Novo contato",G316="Em conversa"),IF(J316="",TODAY(),J316+1),IF(G316="Avaliação marcada",IF(L316="",TODAY(),L316-1),IF(G316="Proposta enviada",IF(J316="",TODAY(),J316+2),IF(G316="Fechou pacote",IF(J316="",TODAY(),J316+7),IF(G316="Em tratamento",IF(M316="",TODAY(),IF(TODAY()&lt;=M316+1,M316+1,EDATE(M316,6)-30)),IF(G316="Pós-venda",IF(J316="",TODAY(),J316+7),IF(G316="Perdido",IF(J316="",TODAY(),J316+60),""))))))))</f>
        <v/>
      </c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3" t="str">
        <f aca="false">IF(OR(E317="",E317="A completar",E317="Ainda não sabe"),"",IF(OR(E317="Limpeza de pele",E317="Peeling de diamante",E317="Microagulhamento"),"Rosto","Corpo"))</f>
        <v/>
      </c>
      <c r="G317" s="12"/>
      <c r="H317" s="12"/>
      <c r="I317" s="12"/>
      <c r="J317" s="14"/>
      <c r="K317" s="12"/>
      <c r="L317" s="14"/>
      <c r="M317" s="14"/>
      <c r="N317" s="12"/>
      <c r="O317" s="12"/>
      <c r="P317" s="15" t="str">
        <f aca="false">IF(M317="","",EDATE(M317,6))</f>
        <v/>
      </c>
      <c r="Q317" s="15" t="str">
        <f aca="false">IF(W317="","",IF(WEEKDAY(W317)=1,W317+1,W317))</f>
        <v/>
      </c>
      <c r="R317" s="13" t="str">
        <f aca="true">IF(Q317="","",IF(AND(N(K317)&gt;=3,G317&lt;&gt;"Perdido"),"Mover para Perdido",IF(Q317&lt;TODAY(),"Atrasado",IF(Q317=TODAY(),"Hoje","No prazo"))))</f>
        <v/>
      </c>
      <c r="S317" s="12"/>
      <c r="T317" s="12"/>
      <c r="U317" s="12"/>
      <c r="V317" s="7"/>
      <c r="W317" s="15" t="str">
        <f aca="true">IF(G317="","",IF(OR(G317="Novo contato",G317="Em conversa"),IF(J317="",TODAY(),J317+1),IF(G317="Avaliação marcada",IF(L317="",TODAY(),L317-1),IF(G317="Proposta enviada",IF(J317="",TODAY(),J317+2),IF(G317="Fechou pacote",IF(J317="",TODAY(),J317+7),IF(G317="Em tratamento",IF(M317="",TODAY(),IF(TODAY()&lt;=M317+1,M317+1,EDATE(M317,6)-30)),IF(G317="Pós-venda",IF(J317="",TODAY(),J317+7),IF(G317="Perdido",IF(J317="",TODAY(),J317+60),""))))))))</f>
        <v/>
      </c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3" t="str">
        <f aca="false">IF(OR(E318="",E318="A completar",E318="Ainda não sabe"),"",IF(OR(E318="Limpeza de pele",E318="Peeling de diamante",E318="Microagulhamento"),"Rosto","Corpo"))</f>
        <v/>
      </c>
      <c r="G318" s="12"/>
      <c r="H318" s="12"/>
      <c r="I318" s="12"/>
      <c r="J318" s="14"/>
      <c r="K318" s="12"/>
      <c r="L318" s="14"/>
      <c r="M318" s="14"/>
      <c r="N318" s="12"/>
      <c r="O318" s="12"/>
      <c r="P318" s="15" t="str">
        <f aca="false">IF(M318="","",EDATE(M318,6))</f>
        <v/>
      </c>
      <c r="Q318" s="15" t="str">
        <f aca="false">IF(W318="","",IF(WEEKDAY(W318)=1,W318+1,W318))</f>
        <v/>
      </c>
      <c r="R318" s="13" t="str">
        <f aca="true">IF(Q318="","",IF(AND(N(K318)&gt;=3,G318&lt;&gt;"Perdido"),"Mover para Perdido",IF(Q318&lt;TODAY(),"Atrasado",IF(Q318=TODAY(),"Hoje","No prazo"))))</f>
        <v/>
      </c>
      <c r="S318" s="12"/>
      <c r="T318" s="12"/>
      <c r="U318" s="12"/>
      <c r="V318" s="7"/>
      <c r="W318" s="15" t="str">
        <f aca="true">IF(G318="","",IF(OR(G318="Novo contato",G318="Em conversa"),IF(J318="",TODAY(),J318+1),IF(G318="Avaliação marcada",IF(L318="",TODAY(),L318-1),IF(G318="Proposta enviada",IF(J318="",TODAY(),J318+2),IF(G318="Fechou pacote",IF(J318="",TODAY(),J318+7),IF(G318="Em tratamento",IF(M318="",TODAY(),IF(TODAY()&lt;=M318+1,M318+1,EDATE(M318,6)-30)),IF(G318="Pós-venda",IF(J318="",TODAY(),J318+7),IF(G318="Perdido",IF(J318="",TODAY(),J318+60),""))))))))</f>
        <v/>
      </c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3" t="str">
        <f aca="false">IF(OR(E319="",E319="A completar",E319="Ainda não sabe"),"",IF(OR(E319="Limpeza de pele",E319="Peeling de diamante",E319="Microagulhamento"),"Rosto","Corpo"))</f>
        <v/>
      </c>
      <c r="G319" s="12"/>
      <c r="H319" s="12"/>
      <c r="I319" s="12"/>
      <c r="J319" s="14"/>
      <c r="K319" s="12"/>
      <c r="L319" s="14"/>
      <c r="M319" s="14"/>
      <c r="N319" s="12"/>
      <c r="O319" s="12"/>
      <c r="P319" s="15" t="str">
        <f aca="false">IF(M319="","",EDATE(M319,6))</f>
        <v/>
      </c>
      <c r="Q319" s="15" t="str">
        <f aca="false">IF(W319="","",IF(WEEKDAY(W319)=1,W319+1,W319))</f>
        <v/>
      </c>
      <c r="R319" s="13" t="str">
        <f aca="true">IF(Q319="","",IF(AND(N(K319)&gt;=3,G319&lt;&gt;"Perdido"),"Mover para Perdido",IF(Q319&lt;TODAY(),"Atrasado",IF(Q319=TODAY(),"Hoje","No prazo"))))</f>
        <v/>
      </c>
      <c r="S319" s="12"/>
      <c r="T319" s="12"/>
      <c r="U319" s="12"/>
      <c r="V319" s="7"/>
      <c r="W319" s="15" t="str">
        <f aca="true">IF(G319="","",IF(OR(G319="Novo contato",G319="Em conversa"),IF(J319="",TODAY(),J319+1),IF(G319="Avaliação marcada",IF(L319="",TODAY(),L319-1),IF(G319="Proposta enviada",IF(J319="",TODAY(),J319+2),IF(G319="Fechou pacote",IF(J319="",TODAY(),J319+7),IF(G319="Em tratamento",IF(M319="",TODAY(),IF(TODAY()&lt;=M319+1,M319+1,EDATE(M319,6)-30)),IF(G319="Pós-venda",IF(J319="",TODAY(),J319+7),IF(G319="Perdido",IF(J319="",TODAY(),J319+60),""))))))))</f>
        <v/>
      </c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3" t="str">
        <f aca="false">IF(OR(E320="",E320="A completar",E320="Ainda não sabe"),"",IF(OR(E320="Limpeza de pele",E320="Peeling de diamante",E320="Microagulhamento"),"Rosto","Corpo"))</f>
        <v/>
      </c>
      <c r="G320" s="12"/>
      <c r="H320" s="12"/>
      <c r="I320" s="12"/>
      <c r="J320" s="14"/>
      <c r="K320" s="12"/>
      <c r="L320" s="14"/>
      <c r="M320" s="14"/>
      <c r="N320" s="12"/>
      <c r="O320" s="12"/>
      <c r="P320" s="15" t="str">
        <f aca="false">IF(M320="","",EDATE(M320,6))</f>
        <v/>
      </c>
      <c r="Q320" s="15" t="str">
        <f aca="false">IF(W320="","",IF(WEEKDAY(W320)=1,W320+1,W320))</f>
        <v/>
      </c>
      <c r="R320" s="13" t="str">
        <f aca="true">IF(Q320="","",IF(AND(N(K320)&gt;=3,G320&lt;&gt;"Perdido"),"Mover para Perdido",IF(Q320&lt;TODAY(),"Atrasado",IF(Q320=TODAY(),"Hoje","No prazo"))))</f>
        <v/>
      </c>
      <c r="S320" s="12"/>
      <c r="T320" s="12"/>
      <c r="U320" s="12"/>
      <c r="V320" s="7"/>
      <c r="W320" s="15" t="str">
        <f aca="true">IF(G320="","",IF(OR(G320="Novo contato",G320="Em conversa"),IF(J320="",TODAY(),J320+1),IF(G320="Avaliação marcada",IF(L320="",TODAY(),L320-1),IF(G320="Proposta enviada",IF(J320="",TODAY(),J320+2),IF(G320="Fechou pacote",IF(J320="",TODAY(),J320+7),IF(G320="Em tratamento",IF(M320="",TODAY(),IF(TODAY()&lt;=M320+1,M320+1,EDATE(M320,6)-30)),IF(G320="Pós-venda",IF(J320="",TODAY(),J320+7),IF(G320="Perdido",IF(J320="",TODAY(),J320+60),""))))))))</f>
        <v/>
      </c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3" t="str">
        <f aca="false">IF(OR(E321="",E321="A completar",E321="Ainda não sabe"),"",IF(OR(E321="Limpeza de pele",E321="Peeling de diamante",E321="Microagulhamento"),"Rosto","Corpo"))</f>
        <v/>
      </c>
      <c r="G321" s="12"/>
      <c r="H321" s="12"/>
      <c r="I321" s="12"/>
      <c r="J321" s="14"/>
      <c r="K321" s="12"/>
      <c r="L321" s="14"/>
      <c r="M321" s="14"/>
      <c r="N321" s="12"/>
      <c r="O321" s="12"/>
      <c r="P321" s="15" t="str">
        <f aca="false">IF(M321="","",EDATE(M321,6))</f>
        <v/>
      </c>
      <c r="Q321" s="15" t="str">
        <f aca="false">IF(W321="","",IF(WEEKDAY(W321)=1,W321+1,W321))</f>
        <v/>
      </c>
      <c r="R321" s="13" t="str">
        <f aca="true">IF(Q321="","",IF(AND(N(K321)&gt;=3,G321&lt;&gt;"Perdido"),"Mover para Perdido",IF(Q321&lt;TODAY(),"Atrasado",IF(Q321=TODAY(),"Hoje","No prazo"))))</f>
        <v/>
      </c>
      <c r="S321" s="12"/>
      <c r="T321" s="12"/>
      <c r="U321" s="12"/>
      <c r="V321" s="7"/>
      <c r="W321" s="15" t="str">
        <f aca="true">IF(G321="","",IF(OR(G321="Novo contato",G321="Em conversa"),IF(J321="",TODAY(),J321+1),IF(G321="Avaliação marcada",IF(L321="",TODAY(),L321-1),IF(G321="Proposta enviada",IF(J321="",TODAY(),J321+2),IF(G321="Fechou pacote",IF(J321="",TODAY(),J321+7),IF(G321="Em tratamento",IF(M321="",TODAY(),IF(TODAY()&lt;=M321+1,M321+1,EDATE(M321,6)-30)),IF(G321="Pós-venda",IF(J321="",TODAY(),J321+7),IF(G321="Perdido",IF(J321="",TODAY(),J321+60),""))))))))</f>
        <v/>
      </c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3" t="str">
        <f aca="false">IF(OR(E322="",E322="A completar",E322="Ainda não sabe"),"",IF(OR(E322="Limpeza de pele",E322="Peeling de diamante",E322="Microagulhamento"),"Rosto","Corpo"))</f>
        <v/>
      </c>
      <c r="G322" s="12"/>
      <c r="H322" s="12"/>
      <c r="I322" s="12"/>
      <c r="J322" s="14"/>
      <c r="K322" s="12"/>
      <c r="L322" s="14"/>
      <c r="M322" s="14"/>
      <c r="N322" s="12"/>
      <c r="O322" s="12"/>
      <c r="P322" s="15" t="str">
        <f aca="false">IF(M322="","",EDATE(M322,6))</f>
        <v/>
      </c>
      <c r="Q322" s="15" t="str">
        <f aca="false">IF(W322="","",IF(WEEKDAY(W322)=1,W322+1,W322))</f>
        <v/>
      </c>
      <c r="R322" s="13" t="str">
        <f aca="true">IF(Q322="","",IF(AND(N(K322)&gt;=3,G322&lt;&gt;"Perdido"),"Mover para Perdido",IF(Q322&lt;TODAY(),"Atrasado",IF(Q322=TODAY(),"Hoje","No prazo"))))</f>
        <v/>
      </c>
      <c r="S322" s="12"/>
      <c r="T322" s="12"/>
      <c r="U322" s="12"/>
      <c r="V322" s="7"/>
      <c r="W322" s="15" t="str">
        <f aca="true">IF(G322="","",IF(OR(G322="Novo contato",G322="Em conversa"),IF(J322="",TODAY(),J322+1),IF(G322="Avaliação marcada",IF(L322="",TODAY(),L322-1),IF(G322="Proposta enviada",IF(J322="",TODAY(),J322+2),IF(G322="Fechou pacote",IF(J322="",TODAY(),J322+7),IF(G322="Em tratamento",IF(M322="",TODAY(),IF(TODAY()&lt;=M322+1,M322+1,EDATE(M322,6)-30)),IF(G322="Pós-venda",IF(J322="",TODAY(),J322+7),IF(G322="Perdido",IF(J322="",TODAY(),J322+60),""))))))))</f>
        <v/>
      </c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3" t="str">
        <f aca="false">IF(OR(E323="",E323="A completar",E323="Ainda não sabe"),"",IF(OR(E323="Limpeza de pele",E323="Peeling de diamante",E323="Microagulhamento"),"Rosto","Corpo"))</f>
        <v/>
      </c>
      <c r="G323" s="12"/>
      <c r="H323" s="12"/>
      <c r="I323" s="12"/>
      <c r="J323" s="14"/>
      <c r="K323" s="12"/>
      <c r="L323" s="14"/>
      <c r="M323" s="14"/>
      <c r="N323" s="12"/>
      <c r="O323" s="12"/>
      <c r="P323" s="15" t="str">
        <f aca="false">IF(M323="","",EDATE(M323,6))</f>
        <v/>
      </c>
      <c r="Q323" s="15" t="str">
        <f aca="false">IF(W323="","",IF(WEEKDAY(W323)=1,W323+1,W323))</f>
        <v/>
      </c>
      <c r="R323" s="13" t="str">
        <f aca="true">IF(Q323="","",IF(AND(N(K323)&gt;=3,G323&lt;&gt;"Perdido"),"Mover para Perdido",IF(Q323&lt;TODAY(),"Atrasado",IF(Q323=TODAY(),"Hoje","No prazo"))))</f>
        <v/>
      </c>
      <c r="S323" s="12"/>
      <c r="T323" s="12"/>
      <c r="U323" s="12"/>
      <c r="V323" s="7"/>
      <c r="W323" s="15" t="str">
        <f aca="true">IF(G323="","",IF(OR(G323="Novo contato",G323="Em conversa"),IF(J323="",TODAY(),J323+1),IF(G323="Avaliação marcada",IF(L323="",TODAY(),L323-1),IF(G323="Proposta enviada",IF(J323="",TODAY(),J323+2),IF(G323="Fechou pacote",IF(J323="",TODAY(),J323+7),IF(G323="Em tratamento",IF(M323="",TODAY(),IF(TODAY()&lt;=M323+1,M323+1,EDATE(M323,6)-30)),IF(G323="Pós-venda",IF(J323="",TODAY(),J323+7),IF(G323="Perdido",IF(J323="",TODAY(),J323+60),""))))))))</f>
        <v/>
      </c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3" t="str">
        <f aca="false">IF(OR(E324="",E324="A completar",E324="Ainda não sabe"),"",IF(OR(E324="Limpeza de pele",E324="Peeling de diamante",E324="Microagulhamento"),"Rosto","Corpo"))</f>
        <v/>
      </c>
      <c r="G324" s="12"/>
      <c r="H324" s="12"/>
      <c r="I324" s="12"/>
      <c r="J324" s="14"/>
      <c r="K324" s="12"/>
      <c r="L324" s="14"/>
      <c r="M324" s="14"/>
      <c r="N324" s="12"/>
      <c r="O324" s="12"/>
      <c r="P324" s="15" t="str">
        <f aca="false">IF(M324="","",EDATE(M324,6))</f>
        <v/>
      </c>
      <c r="Q324" s="15" t="str">
        <f aca="false">IF(W324="","",IF(WEEKDAY(W324)=1,W324+1,W324))</f>
        <v/>
      </c>
      <c r="R324" s="13" t="str">
        <f aca="true">IF(Q324="","",IF(AND(N(K324)&gt;=3,G324&lt;&gt;"Perdido"),"Mover para Perdido",IF(Q324&lt;TODAY(),"Atrasado",IF(Q324=TODAY(),"Hoje","No prazo"))))</f>
        <v/>
      </c>
      <c r="S324" s="12"/>
      <c r="T324" s="12"/>
      <c r="U324" s="12"/>
      <c r="V324" s="7"/>
      <c r="W324" s="15" t="str">
        <f aca="true">IF(G324="","",IF(OR(G324="Novo contato",G324="Em conversa"),IF(J324="",TODAY(),J324+1),IF(G324="Avaliação marcada",IF(L324="",TODAY(),L324-1),IF(G324="Proposta enviada",IF(J324="",TODAY(),J324+2),IF(G324="Fechou pacote",IF(J324="",TODAY(),J324+7),IF(G324="Em tratamento",IF(M324="",TODAY(),IF(TODAY()&lt;=M324+1,M324+1,EDATE(M324,6)-30)),IF(G324="Pós-venda",IF(J324="",TODAY(),J324+7),IF(G324="Perdido",IF(J324="",TODAY(),J324+60),""))))))))</f>
        <v/>
      </c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3" t="str">
        <f aca="false">IF(OR(E325="",E325="A completar",E325="Ainda não sabe"),"",IF(OR(E325="Limpeza de pele",E325="Peeling de diamante",E325="Microagulhamento"),"Rosto","Corpo"))</f>
        <v/>
      </c>
      <c r="G325" s="12"/>
      <c r="H325" s="12"/>
      <c r="I325" s="12"/>
      <c r="J325" s="14"/>
      <c r="K325" s="12"/>
      <c r="L325" s="14"/>
      <c r="M325" s="14"/>
      <c r="N325" s="12"/>
      <c r="O325" s="12"/>
      <c r="P325" s="15" t="str">
        <f aca="false">IF(M325="","",EDATE(M325,6))</f>
        <v/>
      </c>
      <c r="Q325" s="15" t="str">
        <f aca="false">IF(W325="","",IF(WEEKDAY(W325)=1,W325+1,W325))</f>
        <v/>
      </c>
      <c r="R325" s="13" t="str">
        <f aca="true">IF(Q325="","",IF(AND(N(K325)&gt;=3,G325&lt;&gt;"Perdido"),"Mover para Perdido",IF(Q325&lt;TODAY(),"Atrasado",IF(Q325=TODAY(),"Hoje","No prazo"))))</f>
        <v/>
      </c>
      <c r="S325" s="12"/>
      <c r="T325" s="12"/>
      <c r="U325" s="12"/>
      <c r="V325" s="7"/>
      <c r="W325" s="15" t="str">
        <f aca="true">IF(G325="","",IF(OR(G325="Novo contato",G325="Em conversa"),IF(J325="",TODAY(),J325+1),IF(G325="Avaliação marcada",IF(L325="",TODAY(),L325-1),IF(G325="Proposta enviada",IF(J325="",TODAY(),J325+2),IF(G325="Fechou pacote",IF(J325="",TODAY(),J325+7),IF(G325="Em tratamento",IF(M325="",TODAY(),IF(TODAY()&lt;=M325+1,M325+1,EDATE(M325,6)-30)),IF(G325="Pós-venda",IF(J325="",TODAY(),J325+7),IF(G325="Perdido",IF(J325="",TODAY(),J325+60),""))))))))</f>
        <v/>
      </c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3" t="str">
        <f aca="false">IF(OR(E326="",E326="A completar",E326="Ainda não sabe"),"",IF(OR(E326="Limpeza de pele",E326="Peeling de diamante",E326="Microagulhamento"),"Rosto","Corpo"))</f>
        <v/>
      </c>
      <c r="G326" s="12"/>
      <c r="H326" s="12"/>
      <c r="I326" s="12"/>
      <c r="J326" s="14"/>
      <c r="K326" s="12"/>
      <c r="L326" s="14"/>
      <c r="M326" s="14"/>
      <c r="N326" s="12"/>
      <c r="O326" s="12"/>
      <c r="P326" s="15" t="str">
        <f aca="false">IF(M326="","",EDATE(M326,6))</f>
        <v/>
      </c>
      <c r="Q326" s="15" t="str">
        <f aca="false">IF(W326="","",IF(WEEKDAY(W326)=1,W326+1,W326))</f>
        <v/>
      </c>
      <c r="R326" s="13" t="str">
        <f aca="true">IF(Q326="","",IF(AND(N(K326)&gt;=3,G326&lt;&gt;"Perdido"),"Mover para Perdido",IF(Q326&lt;TODAY(),"Atrasado",IF(Q326=TODAY(),"Hoje","No prazo"))))</f>
        <v/>
      </c>
      <c r="S326" s="12"/>
      <c r="T326" s="12"/>
      <c r="U326" s="12"/>
      <c r="V326" s="7"/>
      <c r="W326" s="15" t="str">
        <f aca="true">IF(G326="","",IF(OR(G326="Novo contato",G326="Em conversa"),IF(J326="",TODAY(),J326+1),IF(G326="Avaliação marcada",IF(L326="",TODAY(),L326-1),IF(G326="Proposta enviada",IF(J326="",TODAY(),J326+2),IF(G326="Fechou pacote",IF(J326="",TODAY(),J326+7),IF(G326="Em tratamento",IF(M326="",TODAY(),IF(TODAY()&lt;=M326+1,M326+1,EDATE(M326,6)-30)),IF(G326="Pós-venda",IF(J326="",TODAY(),J326+7),IF(G326="Perdido",IF(J326="",TODAY(),J326+60),""))))))))</f>
        <v/>
      </c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3" t="str">
        <f aca="false">IF(OR(E327="",E327="A completar",E327="Ainda não sabe"),"",IF(OR(E327="Limpeza de pele",E327="Peeling de diamante",E327="Microagulhamento"),"Rosto","Corpo"))</f>
        <v/>
      </c>
      <c r="G327" s="12"/>
      <c r="H327" s="12"/>
      <c r="I327" s="12"/>
      <c r="J327" s="14"/>
      <c r="K327" s="12"/>
      <c r="L327" s="14"/>
      <c r="M327" s="14"/>
      <c r="N327" s="12"/>
      <c r="O327" s="12"/>
      <c r="P327" s="15" t="str">
        <f aca="false">IF(M327="","",EDATE(M327,6))</f>
        <v/>
      </c>
      <c r="Q327" s="15" t="str">
        <f aca="false">IF(W327="","",IF(WEEKDAY(W327)=1,W327+1,W327))</f>
        <v/>
      </c>
      <c r="R327" s="13" t="str">
        <f aca="true">IF(Q327="","",IF(AND(N(K327)&gt;=3,G327&lt;&gt;"Perdido"),"Mover para Perdido",IF(Q327&lt;TODAY(),"Atrasado",IF(Q327=TODAY(),"Hoje","No prazo"))))</f>
        <v/>
      </c>
      <c r="S327" s="12"/>
      <c r="T327" s="12"/>
      <c r="U327" s="12"/>
      <c r="V327" s="7"/>
      <c r="W327" s="15" t="str">
        <f aca="true">IF(G327="","",IF(OR(G327="Novo contato",G327="Em conversa"),IF(J327="",TODAY(),J327+1),IF(G327="Avaliação marcada",IF(L327="",TODAY(),L327-1),IF(G327="Proposta enviada",IF(J327="",TODAY(),J327+2),IF(G327="Fechou pacote",IF(J327="",TODAY(),J327+7),IF(G327="Em tratamento",IF(M327="",TODAY(),IF(TODAY()&lt;=M327+1,M327+1,EDATE(M327,6)-30)),IF(G327="Pós-venda",IF(J327="",TODAY(),J327+7),IF(G327="Perdido",IF(J327="",TODAY(),J327+60),""))))))))</f>
        <v/>
      </c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3" t="str">
        <f aca="false">IF(OR(E328="",E328="A completar",E328="Ainda não sabe"),"",IF(OR(E328="Limpeza de pele",E328="Peeling de diamante",E328="Microagulhamento"),"Rosto","Corpo"))</f>
        <v/>
      </c>
      <c r="G328" s="12"/>
      <c r="H328" s="12"/>
      <c r="I328" s="12"/>
      <c r="J328" s="14"/>
      <c r="K328" s="12"/>
      <c r="L328" s="14"/>
      <c r="M328" s="14"/>
      <c r="N328" s="12"/>
      <c r="O328" s="12"/>
      <c r="P328" s="15" t="str">
        <f aca="false">IF(M328="","",EDATE(M328,6))</f>
        <v/>
      </c>
      <c r="Q328" s="15" t="str">
        <f aca="false">IF(W328="","",IF(WEEKDAY(W328)=1,W328+1,W328))</f>
        <v/>
      </c>
      <c r="R328" s="13" t="str">
        <f aca="true">IF(Q328="","",IF(AND(N(K328)&gt;=3,G328&lt;&gt;"Perdido"),"Mover para Perdido",IF(Q328&lt;TODAY(),"Atrasado",IF(Q328=TODAY(),"Hoje","No prazo"))))</f>
        <v/>
      </c>
      <c r="S328" s="12"/>
      <c r="T328" s="12"/>
      <c r="U328" s="12"/>
      <c r="V328" s="7"/>
      <c r="W328" s="15" t="str">
        <f aca="true">IF(G328="","",IF(OR(G328="Novo contato",G328="Em conversa"),IF(J328="",TODAY(),J328+1),IF(G328="Avaliação marcada",IF(L328="",TODAY(),L328-1),IF(G328="Proposta enviada",IF(J328="",TODAY(),J328+2),IF(G328="Fechou pacote",IF(J328="",TODAY(),J328+7),IF(G328="Em tratamento",IF(M328="",TODAY(),IF(TODAY()&lt;=M328+1,M328+1,EDATE(M328,6)-30)),IF(G328="Pós-venda",IF(J328="",TODAY(),J328+7),IF(G328="Perdido",IF(J328="",TODAY(),J328+60),""))))))))</f>
        <v/>
      </c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3" t="str">
        <f aca="false">IF(OR(E329="",E329="A completar",E329="Ainda não sabe"),"",IF(OR(E329="Limpeza de pele",E329="Peeling de diamante",E329="Microagulhamento"),"Rosto","Corpo"))</f>
        <v/>
      </c>
      <c r="G329" s="12"/>
      <c r="H329" s="12"/>
      <c r="I329" s="12"/>
      <c r="J329" s="14"/>
      <c r="K329" s="12"/>
      <c r="L329" s="14"/>
      <c r="M329" s="14"/>
      <c r="N329" s="12"/>
      <c r="O329" s="12"/>
      <c r="P329" s="15" t="str">
        <f aca="false">IF(M329="","",EDATE(M329,6))</f>
        <v/>
      </c>
      <c r="Q329" s="15" t="str">
        <f aca="false">IF(W329="","",IF(WEEKDAY(W329)=1,W329+1,W329))</f>
        <v/>
      </c>
      <c r="R329" s="13" t="str">
        <f aca="true">IF(Q329="","",IF(AND(N(K329)&gt;=3,G329&lt;&gt;"Perdido"),"Mover para Perdido",IF(Q329&lt;TODAY(),"Atrasado",IF(Q329=TODAY(),"Hoje","No prazo"))))</f>
        <v/>
      </c>
      <c r="S329" s="12"/>
      <c r="T329" s="12"/>
      <c r="U329" s="12"/>
      <c r="V329" s="7"/>
      <c r="W329" s="15" t="str">
        <f aca="true">IF(G329="","",IF(OR(G329="Novo contato",G329="Em conversa"),IF(J329="",TODAY(),J329+1),IF(G329="Avaliação marcada",IF(L329="",TODAY(),L329-1),IF(G329="Proposta enviada",IF(J329="",TODAY(),J329+2),IF(G329="Fechou pacote",IF(J329="",TODAY(),J329+7),IF(G329="Em tratamento",IF(M329="",TODAY(),IF(TODAY()&lt;=M329+1,M329+1,EDATE(M329,6)-30)),IF(G329="Pós-venda",IF(J329="",TODAY(),J329+7),IF(G329="Perdido",IF(J329="",TODAY(),J329+60),""))))))))</f>
        <v/>
      </c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3" t="str">
        <f aca="false">IF(OR(E330="",E330="A completar",E330="Ainda não sabe"),"",IF(OR(E330="Limpeza de pele",E330="Peeling de diamante",E330="Microagulhamento"),"Rosto","Corpo"))</f>
        <v/>
      </c>
      <c r="G330" s="12"/>
      <c r="H330" s="12"/>
      <c r="I330" s="12"/>
      <c r="J330" s="14"/>
      <c r="K330" s="12"/>
      <c r="L330" s="14"/>
      <c r="M330" s="14"/>
      <c r="N330" s="12"/>
      <c r="O330" s="12"/>
      <c r="P330" s="15" t="str">
        <f aca="false">IF(M330="","",EDATE(M330,6))</f>
        <v/>
      </c>
      <c r="Q330" s="15" t="str">
        <f aca="false">IF(W330="","",IF(WEEKDAY(W330)=1,W330+1,W330))</f>
        <v/>
      </c>
      <c r="R330" s="13" t="str">
        <f aca="true">IF(Q330="","",IF(AND(N(K330)&gt;=3,G330&lt;&gt;"Perdido"),"Mover para Perdido",IF(Q330&lt;TODAY(),"Atrasado",IF(Q330=TODAY(),"Hoje","No prazo"))))</f>
        <v/>
      </c>
      <c r="S330" s="12"/>
      <c r="T330" s="12"/>
      <c r="U330" s="12"/>
      <c r="V330" s="7"/>
      <c r="W330" s="15" t="str">
        <f aca="true">IF(G330="","",IF(OR(G330="Novo contato",G330="Em conversa"),IF(J330="",TODAY(),J330+1),IF(G330="Avaliação marcada",IF(L330="",TODAY(),L330-1),IF(G330="Proposta enviada",IF(J330="",TODAY(),J330+2),IF(G330="Fechou pacote",IF(J330="",TODAY(),J330+7),IF(G330="Em tratamento",IF(M330="",TODAY(),IF(TODAY()&lt;=M330+1,M330+1,EDATE(M330,6)-30)),IF(G330="Pós-venda",IF(J330="",TODAY(),J330+7),IF(G330="Perdido",IF(J330="",TODAY(),J330+60),""))))))))</f>
        <v/>
      </c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3" t="str">
        <f aca="false">IF(OR(E331="",E331="A completar",E331="Ainda não sabe"),"",IF(OR(E331="Limpeza de pele",E331="Peeling de diamante",E331="Microagulhamento"),"Rosto","Corpo"))</f>
        <v/>
      </c>
      <c r="G331" s="12"/>
      <c r="H331" s="12"/>
      <c r="I331" s="12"/>
      <c r="J331" s="14"/>
      <c r="K331" s="12"/>
      <c r="L331" s="14"/>
      <c r="M331" s="14"/>
      <c r="N331" s="12"/>
      <c r="O331" s="12"/>
      <c r="P331" s="15" t="str">
        <f aca="false">IF(M331="","",EDATE(M331,6))</f>
        <v/>
      </c>
      <c r="Q331" s="15" t="str">
        <f aca="false">IF(W331="","",IF(WEEKDAY(W331)=1,W331+1,W331))</f>
        <v/>
      </c>
      <c r="R331" s="13" t="str">
        <f aca="true">IF(Q331="","",IF(AND(N(K331)&gt;=3,G331&lt;&gt;"Perdido"),"Mover para Perdido",IF(Q331&lt;TODAY(),"Atrasado",IF(Q331=TODAY(),"Hoje","No prazo"))))</f>
        <v/>
      </c>
      <c r="S331" s="12"/>
      <c r="T331" s="12"/>
      <c r="U331" s="12"/>
      <c r="V331" s="7"/>
      <c r="W331" s="15" t="str">
        <f aca="true">IF(G331="","",IF(OR(G331="Novo contato",G331="Em conversa"),IF(J331="",TODAY(),J331+1),IF(G331="Avaliação marcada",IF(L331="",TODAY(),L331-1),IF(G331="Proposta enviada",IF(J331="",TODAY(),J331+2),IF(G331="Fechou pacote",IF(J331="",TODAY(),J331+7),IF(G331="Em tratamento",IF(M331="",TODAY(),IF(TODAY()&lt;=M331+1,M331+1,EDATE(M331,6)-30)),IF(G331="Pós-venda",IF(J331="",TODAY(),J331+7),IF(G331="Perdido",IF(J331="",TODAY(),J331+60),""))))))))</f>
        <v/>
      </c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3" t="str">
        <f aca="false">IF(OR(E332="",E332="A completar",E332="Ainda não sabe"),"",IF(OR(E332="Limpeza de pele",E332="Peeling de diamante",E332="Microagulhamento"),"Rosto","Corpo"))</f>
        <v/>
      </c>
      <c r="G332" s="12"/>
      <c r="H332" s="12"/>
      <c r="I332" s="12"/>
      <c r="J332" s="14"/>
      <c r="K332" s="12"/>
      <c r="L332" s="14"/>
      <c r="M332" s="14"/>
      <c r="N332" s="12"/>
      <c r="O332" s="12"/>
      <c r="P332" s="15" t="str">
        <f aca="false">IF(M332="","",EDATE(M332,6))</f>
        <v/>
      </c>
      <c r="Q332" s="15" t="str">
        <f aca="false">IF(W332="","",IF(WEEKDAY(W332)=1,W332+1,W332))</f>
        <v/>
      </c>
      <c r="R332" s="13" t="str">
        <f aca="true">IF(Q332="","",IF(AND(N(K332)&gt;=3,G332&lt;&gt;"Perdido"),"Mover para Perdido",IF(Q332&lt;TODAY(),"Atrasado",IF(Q332=TODAY(),"Hoje","No prazo"))))</f>
        <v/>
      </c>
      <c r="S332" s="12"/>
      <c r="T332" s="12"/>
      <c r="U332" s="12"/>
      <c r="V332" s="7"/>
      <c r="W332" s="15" t="str">
        <f aca="true">IF(G332="","",IF(OR(G332="Novo contato",G332="Em conversa"),IF(J332="",TODAY(),J332+1),IF(G332="Avaliação marcada",IF(L332="",TODAY(),L332-1),IF(G332="Proposta enviada",IF(J332="",TODAY(),J332+2),IF(G332="Fechou pacote",IF(J332="",TODAY(),J332+7),IF(G332="Em tratamento",IF(M332="",TODAY(),IF(TODAY()&lt;=M332+1,M332+1,EDATE(M332,6)-30)),IF(G332="Pós-venda",IF(J332="",TODAY(),J332+7),IF(G332="Perdido",IF(J332="",TODAY(),J332+60),""))))))))</f>
        <v/>
      </c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3" t="str">
        <f aca="false">IF(OR(E333="",E333="A completar",E333="Ainda não sabe"),"",IF(OR(E333="Limpeza de pele",E333="Peeling de diamante",E333="Microagulhamento"),"Rosto","Corpo"))</f>
        <v/>
      </c>
      <c r="G333" s="12"/>
      <c r="H333" s="12"/>
      <c r="I333" s="12"/>
      <c r="J333" s="14"/>
      <c r="K333" s="12"/>
      <c r="L333" s="14"/>
      <c r="M333" s="14"/>
      <c r="N333" s="12"/>
      <c r="O333" s="12"/>
      <c r="P333" s="15" t="str">
        <f aca="false">IF(M333="","",EDATE(M333,6))</f>
        <v/>
      </c>
      <c r="Q333" s="15" t="str">
        <f aca="false">IF(W333="","",IF(WEEKDAY(W333)=1,W333+1,W333))</f>
        <v/>
      </c>
      <c r="R333" s="13" t="str">
        <f aca="true">IF(Q333="","",IF(AND(N(K333)&gt;=3,G333&lt;&gt;"Perdido"),"Mover para Perdido",IF(Q333&lt;TODAY(),"Atrasado",IF(Q333=TODAY(),"Hoje","No prazo"))))</f>
        <v/>
      </c>
      <c r="S333" s="12"/>
      <c r="T333" s="12"/>
      <c r="U333" s="12"/>
      <c r="V333" s="7"/>
      <c r="W333" s="15" t="str">
        <f aca="true">IF(G333="","",IF(OR(G333="Novo contato",G333="Em conversa"),IF(J333="",TODAY(),J333+1),IF(G333="Avaliação marcada",IF(L333="",TODAY(),L333-1),IF(G333="Proposta enviada",IF(J333="",TODAY(),J333+2),IF(G333="Fechou pacote",IF(J333="",TODAY(),J333+7),IF(G333="Em tratamento",IF(M333="",TODAY(),IF(TODAY()&lt;=M333+1,M333+1,EDATE(M333,6)-30)),IF(G333="Pós-venda",IF(J333="",TODAY(),J333+7),IF(G333="Perdido",IF(J333="",TODAY(),J333+60),""))))))))</f>
        <v/>
      </c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3" t="str">
        <f aca="false">IF(OR(E334="",E334="A completar",E334="Ainda não sabe"),"",IF(OR(E334="Limpeza de pele",E334="Peeling de diamante",E334="Microagulhamento"),"Rosto","Corpo"))</f>
        <v/>
      </c>
      <c r="G334" s="12"/>
      <c r="H334" s="12"/>
      <c r="I334" s="12"/>
      <c r="J334" s="14"/>
      <c r="K334" s="12"/>
      <c r="L334" s="14"/>
      <c r="M334" s="14"/>
      <c r="N334" s="12"/>
      <c r="O334" s="12"/>
      <c r="P334" s="15" t="str">
        <f aca="false">IF(M334="","",EDATE(M334,6))</f>
        <v/>
      </c>
      <c r="Q334" s="15" t="str">
        <f aca="false">IF(W334="","",IF(WEEKDAY(W334)=1,W334+1,W334))</f>
        <v/>
      </c>
      <c r="R334" s="13" t="str">
        <f aca="true">IF(Q334="","",IF(AND(N(K334)&gt;=3,G334&lt;&gt;"Perdido"),"Mover para Perdido",IF(Q334&lt;TODAY(),"Atrasado",IF(Q334=TODAY(),"Hoje","No prazo"))))</f>
        <v/>
      </c>
      <c r="S334" s="12"/>
      <c r="T334" s="12"/>
      <c r="U334" s="12"/>
      <c r="V334" s="7"/>
      <c r="W334" s="15" t="str">
        <f aca="true">IF(G334="","",IF(OR(G334="Novo contato",G334="Em conversa"),IF(J334="",TODAY(),J334+1),IF(G334="Avaliação marcada",IF(L334="",TODAY(),L334-1),IF(G334="Proposta enviada",IF(J334="",TODAY(),J334+2),IF(G334="Fechou pacote",IF(J334="",TODAY(),J334+7),IF(G334="Em tratamento",IF(M334="",TODAY(),IF(TODAY()&lt;=M334+1,M334+1,EDATE(M334,6)-30)),IF(G334="Pós-venda",IF(J334="",TODAY(),J334+7),IF(G334="Perdido",IF(J334="",TODAY(),J334+60),""))))))))</f>
        <v/>
      </c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3" t="str">
        <f aca="false">IF(OR(E335="",E335="A completar",E335="Ainda não sabe"),"",IF(OR(E335="Limpeza de pele",E335="Peeling de diamante",E335="Microagulhamento"),"Rosto","Corpo"))</f>
        <v/>
      </c>
      <c r="G335" s="12"/>
      <c r="H335" s="12"/>
      <c r="I335" s="12"/>
      <c r="J335" s="14"/>
      <c r="K335" s="12"/>
      <c r="L335" s="14"/>
      <c r="M335" s="14"/>
      <c r="N335" s="12"/>
      <c r="O335" s="12"/>
      <c r="P335" s="15" t="str">
        <f aca="false">IF(M335="","",EDATE(M335,6))</f>
        <v/>
      </c>
      <c r="Q335" s="15" t="str">
        <f aca="false">IF(W335="","",IF(WEEKDAY(W335)=1,W335+1,W335))</f>
        <v/>
      </c>
      <c r="R335" s="13" t="str">
        <f aca="true">IF(Q335="","",IF(AND(N(K335)&gt;=3,G335&lt;&gt;"Perdido"),"Mover para Perdido",IF(Q335&lt;TODAY(),"Atrasado",IF(Q335=TODAY(),"Hoje","No prazo"))))</f>
        <v/>
      </c>
      <c r="S335" s="12"/>
      <c r="T335" s="12"/>
      <c r="U335" s="12"/>
      <c r="V335" s="7"/>
      <c r="W335" s="15" t="str">
        <f aca="true">IF(G335="","",IF(OR(G335="Novo contato",G335="Em conversa"),IF(J335="",TODAY(),J335+1),IF(G335="Avaliação marcada",IF(L335="",TODAY(),L335-1),IF(G335="Proposta enviada",IF(J335="",TODAY(),J335+2),IF(G335="Fechou pacote",IF(J335="",TODAY(),J335+7),IF(G335="Em tratamento",IF(M335="",TODAY(),IF(TODAY()&lt;=M335+1,M335+1,EDATE(M335,6)-30)),IF(G335="Pós-venda",IF(J335="",TODAY(),J335+7),IF(G335="Perdido",IF(J335="",TODAY(),J335+60),""))))))))</f>
        <v/>
      </c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3" t="str">
        <f aca="false">IF(OR(E336="",E336="A completar",E336="Ainda não sabe"),"",IF(OR(E336="Limpeza de pele",E336="Peeling de diamante",E336="Microagulhamento"),"Rosto","Corpo"))</f>
        <v/>
      </c>
      <c r="G336" s="12"/>
      <c r="H336" s="12"/>
      <c r="I336" s="12"/>
      <c r="J336" s="14"/>
      <c r="K336" s="12"/>
      <c r="L336" s="14"/>
      <c r="M336" s="14"/>
      <c r="N336" s="12"/>
      <c r="O336" s="12"/>
      <c r="P336" s="15" t="str">
        <f aca="false">IF(M336="","",EDATE(M336,6))</f>
        <v/>
      </c>
      <c r="Q336" s="15" t="str">
        <f aca="false">IF(W336="","",IF(WEEKDAY(W336)=1,W336+1,W336))</f>
        <v/>
      </c>
      <c r="R336" s="13" t="str">
        <f aca="true">IF(Q336="","",IF(AND(N(K336)&gt;=3,G336&lt;&gt;"Perdido"),"Mover para Perdido",IF(Q336&lt;TODAY(),"Atrasado",IF(Q336=TODAY(),"Hoje","No prazo"))))</f>
        <v/>
      </c>
      <c r="S336" s="12"/>
      <c r="T336" s="12"/>
      <c r="U336" s="12"/>
      <c r="V336" s="7"/>
      <c r="W336" s="15" t="str">
        <f aca="true">IF(G336="","",IF(OR(G336="Novo contato",G336="Em conversa"),IF(J336="",TODAY(),J336+1),IF(G336="Avaliação marcada",IF(L336="",TODAY(),L336-1),IF(G336="Proposta enviada",IF(J336="",TODAY(),J336+2),IF(G336="Fechou pacote",IF(J336="",TODAY(),J336+7),IF(G336="Em tratamento",IF(M336="",TODAY(),IF(TODAY()&lt;=M336+1,M336+1,EDATE(M336,6)-30)),IF(G336="Pós-venda",IF(J336="",TODAY(),J336+7),IF(G336="Perdido",IF(J336="",TODAY(),J336+60),""))))))))</f>
        <v/>
      </c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3" t="str">
        <f aca="false">IF(OR(E337="",E337="A completar",E337="Ainda não sabe"),"",IF(OR(E337="Limpeza de pele",E337="Peeling de diamante",E337="Microagulhamento"),"Rosto","Corpo"))</f>
        <v/>
      </c>
      <c r="G337" s="12"/>
      <c r="H337" s="12"/>
      <c r="I337" s="12"/>
      <c r="J337" s="14"/>
      <c r="K337" s="12"/>
      <c r="L337" s="14"/>
      <c r="M337" s="14"/>
      <c r="N337" s="12"/>
      <c r="O337" s="12"/>
      <c r="P337" s="15" t="str">
        <f aca="false">IF(M337="","",EDATE(M337,6))</f>
        <v/>
      </c>
      <c r="Q337" s="15" t="str">
        <f aca="false">IF(W337="","",IF(WEEKDAY(W337)=1,W337+1,W337))</f>
        <v/>
      </c>
      <c r="R337" s="13" t="str">
        <f aca="true">IF(Q337="","",IF(AND(N(K337)&gt;=3,G337&lt;&gt;"Perdido"),"Mover para Perdido",IF(Q337&lt;TODAY(),"Atrasado",IF(Q337=TODAY(),"Hoje","No prazo"))))</f>
        <v/>
      </c>
      <c r="S337" s="12"/>
      <c r="T337" s="12"/>
      <c r="U337" s="12"/>
      <c r="V337" s="7"/>
      <c r="W337" s="15" t="str">
        <f aca="true">IF(G337="","",IF(OR(G337="Novo contato",G337="Em conversa"),IF(J337="",TODAY(),J337+1),IF(G337="Avaliação marcada",IF(L337="",TODAY(),L337-1),IF(G337="Proposta enviada",IF(J337="",TODAY(),J337+2),IF(G337="Fechou pacote",IF(J337="",TODAY(),J337+7),IF(G337="Em tratamento",IF(M337="",TODAY(),IF(TODAY()&lt;=M337+1,M337+1,EDATE(M337,6)-30)),IF(G337="Pós-venda",IF(J337="",TODAY(),J337+7),IF(G337="Perdido",IF(J337="",TODAY(),J337+60),""))))))))</f>
        <v/>
      </c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3" t="str">
        <f aca="false">IF(OR(E338="",E338="A completar",E338="Ainda não sabe"),"",IF(OR(E338="Limpeza de pele",E338="Peeling de diamante",E338="Microagulhamento"),"Rosto","Corpo"))</f>
        <v/>
      </c>
      <c r="G338" s="12"/>
      <c r="H338" s="12"/>
      <c r="I338" s="12"/>
      <c r="J338" s="14"/>
      <c r="K338" s="12"/>
      <c r="L338" s="14"/>
      <c r="M338" s="14"/>
      <c r="N338" s="12"/>
      <c r="O338" s="12"/>
      <c r="P338" s="15" t="str">
        <f aca="false">IF(M338="","",EDATE(M338,6))</f>
        <v/>
      </c>
      <c r="Q338" s="15" t="str">
        <f aca="false">IF(W338="","",IF(WEEKDAY(W338)=1,W338+1,W338))</f>
        <v/>
      </c>
      <c r="R338" s="13" t="str">
        <f aca="true">IF(Q338="","",IF(AND(N(K338)&gt;=3,G338&lt;&gt;"Perdido"),"Mover para Perdido",IF(Q338&lt;TODAY(),"Atrasado",IF(Q338=TODAY(),"Hoje","No prazo"))))</f>
        <v/>
      </c>
      <c r="S338" s="12"/>
      <c r="T338" s="12"/>
      <c r="U338" s="12"/>
      <c r="V338" s="7"/>
      <c r="W338" s="15" t="str">
        <f aca="true">IF(G338="","",IF(OR(G338="Novo contato",G338="Em conversa"),IF(J338="",TODAY(),J338+1),IF(G338="Avaliação marcada",IF(L338="",TODAY(),L338-1),IF(G338="Proposta enviada",IF(J338="",TODAY(),J338+2),IF(G338="Fechou pacote",IF(J338="",TODAY(),J338+7),IF(G338="Em tratamento",IF(M338="",TODAY(),IF(TODAY()&lt;=M338+1,M338+1,EDATE(M338,6)-30)),IF(G338="Pós-venda",IF(J338="",TODAY(),J338+7),IF(G338="Perdido",IF(J338="",TODAY(),J338+60),""))))))))</f>
        <v/>
      </c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3" t="str">
        <f aca="false">IF(OR(E339="",E339="A completar",E339="Ainda não sabe"),"",IF(OR(E339="Limpeza de pele",E339="Peeling de diamante",E339="Microagulhamento"),"Rosto","Corpo"))</f>
        <v/>
      </c>
      <c r="G339" s="12"/>
      <c r="H339" s="12"/>
      <c r="I339" s="12"/>
      <c r="J339" s="14"/>
      <c r="K339" s="12"/>
      <c r="L339" s="14"/>
      <c r="M339" s="14"/>
      <c r="N339" s="12"/>
      <c r="O339" s="12"/>
      <c r="P339" s="15" t="str">
        <f aca="false">IF(M339="","",EDATE(M339,6))</f>
        <v/>
      </c>
      <c r="Q339" s="15" t="str">
        <f aca="false">IF(W339="","",IF(WEEKDAY(W339)=1,W339+1,W339))</f>
        <v/>
      </c>
      <c r="R339" s="13" t="str">
        <f aca="true">IF(Q339="","",IF(AND(N(K339)&gt;=3,G339&lt;&gt;"Perdido"),"Mover para Perdido",IF(Q339&lt;TODAY(),"Atrasado",IF(Q339=TODAY(),"Hoje","No prazo"))))</f>
        <v/>
      </c>
      <c r="S339" s="12"/>
      <c r="T339" s="12"/>
      <c r="U339" s="12"/>
      <c r="V339" s="7"/>
      <c r="W339" s="15" t="str">
        <f aca="true">IF(G339="","",IF(OR(G339="Novo contato",G339="Em conversa"),IF(J339="",TODAY(),J339+1),IF(G339="Avaliação marcada",IF(L339="",TODAY(),L339-1),IF(G339="Proposta enviada",IF(J339="",TODAY(),J339+2),IF(G339="Fechou pacote",IF(J339="",TODAY(),J339+7),IF(G339="Em tratamento",IF(M339="",TODAY(),IF(TODAY()&lt;=M339+1,M339+1,EDATE(M339,6)-30)),IF(G339="Pós-venda",IF(J339="",TODAY(),J339+7),IF(G339="Perdido",IF(J339="",TODAY(),J339+60),""))))))))</f>
        <v/>
      </c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3" t="str">
        <f aca="false">IF(OR(E340="",E340="A completar",E340="Ainda não sabe"),"",IF(OR(E340="Limpeza de pele",E340="Peeling de diamante",E340="Microagulhamento"),"Rosto","Corpo"))</f>
        <v/>
      </c>
      <c r="G340" s="12"/>
      <c r="H340" s="12"/>
      <c r="I340" s="12"/>
      <c r="J340" s="14"/>
      <c r="K340" s="12"/>
      <c r="L340" s="14"/>
      <c r="M340" s="14"/>
      <c r="N340" s="12"/>
      <c r="O340" s="12"/>
      <c r="P340" s="15" t="str">
        <f aca="false">IF(M340="","",EDATE(M340,6))</f>
        <v/>
      </c>
      <c r="Q340" s="15" t="str">
        <f aca="false">IF(W340="","",IF(WEEKDAY(W340)=1,W340+1,W340))</f>
        <v/>
      </c>
      <c r="R340" s="13" t="str">
        <f aca="true">IF(Q340="","",IF(AND(N(K340)&gt;=3,G340&lt;&gt;"Perdido"),"Mover para Perdido",IF(Q340&lt;TODAY(),"Atrasado",IF(Q340=TODAY(),"Hoje","No prazo"))))</f>
        <v/>
      </c>
      <c r="S340" s="12"/>
      <c r="T340" s="12"/>
      <c r="U340" s="12"/>
      <c r="V340" s="7"/>
      <c r="W340" s="15" t="str">
        <f aca="true">IF(G340="","",IF(OR(G340="Novo contato",G340="Em conversa"),IF(J340="",TODAY(),J340+1),IF(G340="Avaliação marcada",IF(L340="",TODAY(),L340-1),IF(G340="Proposta enviada",IF(J340="",TODAY(),J340+2),IF(G340="Fechou pacote",IF(J340="",TODAY(),J340+7),IF(G340="Em tratamento",IF(M340="",TODAY(),IF(TODAY()&lt;=M340+1,M340+1,EDATE(M340,6)-30)),IF(G340="Pós-venda",IF(J340="",TODAY(),J340+7),IF(G340="Perdido",IF(J340="",TODAY(),J340+60),""))))))))</f>
        <v/>
      </c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3" t="str">
        <f aca="false">IF(OR(E341="",E341="A completar",E341="Ainda não sabe"),"",IF(OR(E341="Limpeza de pele",E341="Peeling de diamante",E341="Microagulhamento"),"Rosto","Corpo"))</f>
        <v/>
      </c>
      <c r="G341" s="12"/>
      <c r="H341" s="12"/>
      <c r="I341" s="12"/>
      <c r="J341" s="14"/>
      <c r="K341" s="12"/>
      <c r="L341" s="14"/>
      <c r="M341" s="14"/>
      <c r="N341" s="12"/>
      <c r="O341" s="12"/>
      <c r="P341" s="15" t="str">
        <f aca="false">IF(M341="","",EDATE(M341,6))</f>
        <v/>
      </c>
      <c r="Q341" s="15" t="str">
        <f aca="false">IF(W341="","",IF(WEEKDAY(W341)=1,W341+1,W341))</f>
        <v/>
      </c>
      <c r="R341" s="13" t="str">
        <f aca="true">IF(Q341="","",IF(AND(N(K341)&gt;=3,G341&lt;&gt;"Perdido"),"Mover para Perdido",IF(Q341&lt;TODAY(),"Atrasado",IF(Q341=TODAY(),"Hoje","No prazo"))))</f>
        <v/>
      </c>
      <c r="S341" s="12"/>
      <c r="T341" s="12"/>
      <c r="U341" s="12"/>
      <c r="V341" s="7"/>
      <c r="W341" s="15" t="str">
        <f aca="true">IF(G341="","",IF(OR(G341="Novo contato",G341="Em conversa"),IF(J341="",TODAY(),J341+1),IF(G341="Avaliação marcada",IF(L341="",TODAY(),L341-1),IF(G341="Proposta enviada",IF(J341="",TODAY(),J341+2),IF(G341="Fechou pacote",IF(J341="",TODAY(),J341+7),IF(G341="Em tratamento",IF(M341="",TODAY(),IF(TODAY()&lt;=M341+1,M341+1,EDATE(M341,6)-30)),IF(G341="Pós-venda",IF(J341="",TODAY(),J341+7),IF(G341="Perdido",IF(J341="",TODAY(),J341+60),""))))))))</f>
        <v/>
      </c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3" t="str">
        <f aca="false">IF(OR(E342="",E342="A completar",E342="Ainda não sabe"),"",IF(OR(E342="Limpeza de pele",E342="Peeling de diamante",E342="Microagulhamento"),"Rosto","Corpo"))</f>
        <v/>
      </c>
      <c r="G342" s="12"/>
      <c r="H342" s="12"/>
      <c r="I342" s="12"/>
      <c r="J342" s="14"/>
      <c r="K342" s="12"/>
      <c r="L342" s="14"/>
      <c r="M342" s="14"/>
      <c r="N342" s="12"/>
      <c r="O342" s="12"/>
      <c r="P342" s="15" t="str">
        <f aca="false">IF(M342="","",EDATE(M342,6))</f>
        <v/>
      </c>
      <c r="Q342" s="15" t="str">
        <f aca="false">IF(W342="","",IF(WEEKDAY(W342)=1,W342+1,W342))</f>
        <v/>
      </c>
      <c r="R342" s="13" t="str">
        <f aca="true">IF(Q342="","",IF(AND(N(K342)&gt;=3,G342&lt;&gt;"Perdido"),"Mover para Perdido",IF(Q342&lt;TODAY(),"Atrasado",IF(Q342=TODAY(),"Hoje","No prazo"))))</f>
        <v/>
      </c>
      <c r="S342" s="12"/>
      <c r="T342" s="12"/>
      <c r="U342" s="12"/>
      <c r="V342" s="7"/>
      <c r="W342" s="15" t="str">
        <f aca="true">IF(G342="","",IF(OR(G342="Novo contato",G342="Em conversa"),IF(J342="",TODAY(),J342+1),IF(G342="Avaliação marcada",IF(L342="",TODAY(),L342-1),IF(G342="Proposta enviada",IF(J342="",TODAY(),J342+2),IF(G342="Fechou pacote",IF(J342="",TODAY(),J342+7),IF(G342="Em tratamento",IF(M342="",TODAY(),IF(TODAY()&lt;=M342+1,M342+1,EDATE(M342,6)-30)),IF(G342="Pós-venda",IF(J342="",TODAY(),J342+7),IF(G342="Perdido",IF(J342="",TODAY(),J342+60),""))))))))</f>
        <v/>
      </c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3" t="str">
        <f aca="false">IF(OR(E343="",E343="A completar",E343="Ainda não sabe"),"",IF(OR(E343="Limpeza de pele",E343="Peeling de diamante",E343="Microagulhamento"),"Rosto","Corpo"))</f>
        <v/>
      </c>
      <c r="G343" s="12"/>
      <c r="H343" s="12"/>
      <c r="I343" s="12"/>
      <c r="J343" s="14"/>
      <c r="K343" s="12"/>
      <c r="L343" s="14"/>
      <c r="M343" s="14"/>
      <c r="N343" s="12"/>
      <c r="O343" s="12"/>
      <c r="P343" s="15" t="str">
        <f aca="false">IF(M343="","",EDATE(M343,6))</f>
        <v/>
      </c>
      <c r="Q343" s="15" t="str">
        <f aca="false">IF(W343="","",IF(WEEKDAY(W343)=1,W343+1,W343))</f>
        <v/>
      </c>
      <c r="R343" s="13" t="str">
        <f aca="true">IF(Q343="","",IF(AND(N(K343)&gt;=3,G343&lt;&gt;"Perdido"),"Mover para Perdido",IF(Q343&lt;TODAY(),"Atrasado",IF(Q343=TODAY(),"Hoje","No prazo"))))</f>
        <v/>
      </c>
      <c r="S343" s="12"/>
      <c r="T343" s="12"/>
      <c r="U343" s="12"/>
      <c r="V343" s="7"/>
      <c r="W343" s="15" t="str">
        <f aca="true">IF(G343="","",IF(OR(G343="Novo contato",G343="Em conversa"),IF(J343="",TODAY(),J343+1),IF(G343="Avaliação marcada",IF(L343="",TODAY(),L343-1),IF(G343="Proposta enviada",IF(J343="",TODAY(),J343+2),IF(G343="Fechou pacote",IF(J343="",TODAY(),J343+7),IF(G343="Em tratamento",IF(M343="",TODAY(),IF(TODAY()&lt;=M343+1,M343+1,EDATE(M343,6)-30)),IF(G343="Pós-venda",IF(J343="",TODAY(),J343+7),IF(G343="Perdido",IF(J343="",TODAY(),J343+60),""))))))))</f>
        <v/>
      </c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3" t="str">
        <f aca="false">IF(OR(E344="",E344="A completar",E344="Ainda não sabe"),"",IF(OR(E344="Limpeza de pele",E344="Peeling de diamante",E344="Microagulhamento"),"Rosto","Corpo"))</f>
        <v/>
      </c>
      <c r="G344" s="12"/>
      <c r="H344" s="12"/>
      <c r="I344" s="12"/>
      <c r="J344" s="14"/>
      <c r="K344" s="12"/>
      <c r="L344" s="14"/>
      <c r="M344" s="14"/>
      <c r="N344" s="12"/>
      <c r="O344" s="12"/>
      <c r="P344" s="15" t="str">
        <f aca="false">IF(M344="","",EDATE(M344,6))</f>
        <v/>
      </c>
      <c r="Q344" s="15" t="str">
        <f aca="false">IF(W344="","",IF(WEEKDAY(W344)=1,W344+1,W344))</f>
        <v/>
      </c>
      <c r="R344" s="13" t="str">
        <f aca="true">IF(Q344="","",IF(AND(N(K344)&gt;=3,G344&lt;&gt;"Perdido"),"Mover para Perdido",IF(Q344&lt;TODAY(),"Atrasado",IF(Q344=TODAY(),"Hoje","No prazo"))))</f>
        <v/>
      </c>
      <c r="S344" s="12"/>
      <c r="T344" s="12"/>
      <c r="U344" s="12"/>
      <c r="V344" s="7"/>
      <c r="W344" s="15" t="str">
        <f aca="true">IF(G344="","",IF(OR(G344="Novo contato",G344="Em conversa"),IF(J344="",TODAY(),J344+1),IF(G344="Avaliação marcada",IF(L344="",TODAY(),L344-1),IF(G344="Proposta enviada",IF(J344="",TODAY(),J344+2),IF(G344="Fechou pacote",IF(J344="",TODAY(),J344+7),IF(G344="Em tratamento",IF(M344="",TODAY(),IF(TODAY()&lt;=M344+1,M344+1,EDATE(M344,6)-30)),IF(G344="Pós-venda",IF(J344="",TODAY(),J344+7),IF(G344="Perdido",IF(J344="",TODAY(),J344+60),""))))))))</f>
        <v/>
      </c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3" t="str">
        <f aca="false">IF(OR(E345="",E345="A completar",E345="Ainda não sabe"),"",IF(OR(E345="Limpeza de pele",E345="Peeling de diamante",E345="Microagulhamento"),"Rosto","Corpo"))</f>
        <v/>
      </c>
      <c r="G345" s="12"/>
      <c r="H345" s="12"/>
      <c r="I345" s="12"/>
      <c r="J345" s="14"/>
      <c r="K345" s="12"/>
      <c r="L345" s="14"/>
      <c r="M345" s="14"/>
      <c r="N345" s="12"/>
      <c r="O345" s="12"/>
      <c r="P345" s="15" t="str">
        <f aca="false">IF(M345="","",EDATE(M345,6))</f>
        <v/>
      </c>
      <c r="Q345" s="15" t="str">
        <f aca="false">IF(W345="","",IF(WEEKDAY(W345)=1,W345+1,W345))</f>
        <v/>
      </c>
      <c r="R345" s="13" t="str">
        <f aca="true">IF(Q345="","",IF(AND(N(K345)&gt;=3,G345&lt;&gt;"Perdido"),"Mover para Perdido",IF(Q345&lt;TODAY(),"Atrasado",IF(Q345=TODAY(),"Hoje","No prazo"))))</f>
        <v/>
      </c>
      <c r="S345" s="12"/>
      <c r="T345" s="12"/>
      <c r="U345" s="12"/>
      <c r="V345" s="7"/>
      <c r="W345" s="15" t="str">
        <f aca="true">IF(G345="","",IF(OR(G345="Novo contato",G345="Em conversa"),IF(J345="",TODAY(),J345+1),IF(G345="Avaliação marcada",IF(L345="",TODAY(),L345-1),IF(G345="Proposta enviada",IF(J345="",TODAY(),J345+2),IF(G345="Fechou pacote",IF(J345="",TODAY(),J345+7),IF(G345="Em tratamento",IF(M345="",TODAY(),IF(TODAY()&lt;=M345+1,M345+1,EDATE(M345,6)-30)),IF(G345="Pós-venda",IF(J345="",TODAY(),J345+7),IF(G345="Perdido",IF(J345="",TODAY(),J345+60),""))))))))</f>
        <v/>
      </c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3" t="str">
        <f aca="false">IF(OR(E346="",E346="A completar",E346="Ainda não sabe"),"",IF(OR(E346="Limpeza de pele",E346="Peeling de diamante",E346="Microagulhamento"),"Rosto","Corpo"))</f>
        <v/>
      </c>
      <c r="G346" s="12"/>
      <c r="H346" s="12"/>
      <c r="I346" s="12"/>
      <c r="J346" s="14"/>
      <c r="K346" s="12"/>
      <c r="L346" s="14"/>
      <c r="M346" s="14"/>
      <c r="N346" s="12"/>
      <c r="O346" s="12"/>
      <c r="P346" s="15" t="str">
        <f aca="false">IF(M346="","",EDATE(M346,6))</f>
        <v/>
      </c>
      <c r="Q346" s="15" t="str">
        <f aca="false">IF(W346="","",IF(WEEKDAY(W346)=1,W346+1,W346))</f>
        <v/>
      </c>
      <c r="R346" s="13" t="str">
        <f aca="true">IF(Q346="","",IF(AND(N(K346)&gt;=3,G346&lt;&gt;"Perdido"),"Mover para Perdido",IF(Q346&lt;TODAY(),"Atrasado",IF(Q346=TODAY(),"Hoje","No prazo"))))</f>
        <v/>
      </c>
      <c r="S346" s="12"/>
      <c r="T346" s="12"/>
      <c r="U346" s="12"/>
      <c r="V346" s="7"/>
      <c r="W346" s="15" t="str">
        <f aca="true">IF(G346="","",IF(OR(G346="Novo contato",G346="Em conversa"),IF(J346="",TODAY(),J346+1),IF(G346="Avaliação marcada",IF(L346="",TODAY(),L346-1),IF(G346="Proposta enviada",IF(J346="",TODAY(),J346+2),IF(G346="Fechou pacote",IF(J346="",TODAY(),J346+7),IF(G346="Em tratamento",IF(M346="",TODAY(),IF(TODAY()&lt;=M346+1,M346+1,EDATE(M346,6)-30)),IF(G346="Pós-venda",IF(J346="",TODAY(),J346+7),IF(G346="Perdido",IF(J346="",TODAY(),J346+60),""))))))))</f>
        <v/>
      </c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3" t="str">
        <f aca="false">IF(OR(E347="",E347="A completar",E347="Ainda não sabe"),"",IF(OR(E347="Limpeza de pele",E347="Peeling de diamante",E347="Microagulhamento"),"Rosto","Corpo"))</f>
        <v/>
      </c>
      <c r="G347" s="12"/>
      <c r="H347" s="12"/>
      <c r="I347" s="12"/>
      <c r="J347" s="14"/>
      <c r="K347" s="12"/>
      <c r="L347" s="14"/>
      <c r="M347" s="14"/>
      <c r="N347" s="12"/>
      <c r="O347" s="12"/>
      <c r="P347" s="15" t="str">
        <f aca="false">IF(M347="","",EDATE(M347,6))</f>
        <v/>
      </c>
      <c r="Q347" s="15" t="str">
        <f aca="false">IF(W347="","",IF(WEEKDAY(W347)=1,W347+1,W347))</f>
        <v/>
      </c>
      <c r="R347" s="13" t="str">
        <f aca="true">IF(Q347="","",IF(AND(N(K347)&gt;=3,G347&lt;&gt;"Perdido"),"Mover para Perdido",IF(Q347&lt;TODAY(),"Atrasado",IF(Q347=TODAY(),"Hoje","No prazo"))))</f>
        <v/>
      </c>
      <c r="S347" s="12"/>
      <c r="T347" s="12"/>
      <c r="U347" s="12"/>
      <c r="V347" s="7"/>
      <c r="W347" s="15" t="str">
        <f aca="true">IF(G347="","",IF(OR(G347="Novo contato",G347="Em conversa"),IF(J347="",TODAY(),J347+1),IF(G347="Avaliação marcada",IF(L347="",TODAY(),L347-1),IF(G347="Proposta enviada",IF(J347="",TODAY(),J347+2),IF(G347="Fechou pacote",IF(J347="",TODAY(),J347+7),IF(G347="Em tratamento",IF(M347="",TODAY(),IF(TODAY()&lt;=M347+1,M347+1,EDATE(M347,6)-30)),IF(G347="Pós-venda",IF(J347="",TODAY(),J347+7),IF(G347="Perdido",IF(J347="",TODAY(),J347+60),""))))))))</f>
        <v/>
      </c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3" t="str">
        <f aca="false">IF(OR(E348="",E348="A completar",E348="Ainda não sabe"),"",IF(OR(E348="Limpeza de pele",E348="Peeling de diamante",E348="Microagulhamento"),"Rosto","Corpo"))</f>
        <v/>
      </c>
      <c r="G348" s="12"/>
      <c r="H348" s="12"/>
      <c r="I348" s="12"/>
      <c r="J348" s="14"/>
      <c r="K348" s="12"/>
      <c r="L348" s="14"/>
      <c r="M348" s="14"/>
      <c r="N348" s="12"/>
      <c r="O348" s="12"/>
      <c r="P348" s="15" t="str">
        <f aca="false">IF(M348="","",EDATE(M348,6))</f>
        <v/>
      </c>
      <c r="Q348" s="15" t="str">
        <f aca="false">IF(W348="","",IF(WEEKDAY(W348)=1,W348+1,W348))</f>
        <v/>
      </c>
      <c r="R348" s="13" t="str">
        <f aca="true">IF(Q348="","",IF(AND(N(K348)&gt;=3,G348&lt;&gt;"Perdido"),"Mover para Perdido",IF(Q348&lt;TODAY(),"Atrasado",IF(Q348=TODAY(),"Hoje","No prazo"))))</f>
        <v/>
      </c>
      <c r="S348" s="12"/>
      <c r="T348" s="12"/>
      <c r="U348" s="12"/>
      <c r="V348" s="7"/>
      <c r="W348" s="15" t="str">
        <f aca="true">IF(G348="","",IF(OR(G348="Novo contato",G348="Em conversa"),IF(J348="",TODAY(),J348+1),IF(G348="Avaliação marcada",IF(L348="",TODAY(),L348-1),IF(G348="Proposta enviada",IF(J348="",TODAY(),J348+2),IF(G348="Fechou pacote",IF(J348="",TODAY(),J348+7),IF(G348="Em tratamento",IF(M348="",TODAY(),IF(TODAY()&lt;=M348+1,M348+1,EDATE(M348,6)-30)),IF(G348="Pós-venda",IF(J348="",TODAY(),J348+7),IF(G348="Perdido",IF(J348="",TODAY(),J348+60),""))))))))</f>
        <v/>
      </c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3" t="str">
        <f aca="false">IF(OR(E349="",E349="A completar",E349="Ainda não sabe"),"",IF(OR(E349="Limpeza de pele",E349="Peeling de diamante",E349="Microagulhamento"),"Rosto","Corpo"))</f>
        <v/>
      </c>
      <c r="G349" s="12"/>
      <c r="H349" s="12"/>
      <c r="I349" s="12"/>
      <c r="J349" s="14"/>
      <c r="K349" s="12"/>
      <c r="L349" s="14"/>
      <c r="M349" s="14"/>
      <c r="N349" s="12"/>
      <c r="O349" s="12"/>
      <c r="P349" s="15" t="str">
        <f aca="false">IF(M349="","",EDATE(M349,6))</f>
        <v/>
      </c>
      <c r="Q349" s="15" t="str">
        <f aca="false">IF(W349="","",IF(WEEKDAY(W349)=1,W349+1,W349))</f>
        <v/>
      </c>
      <c r="R349" s="13" t="str">
        <f aca="true">IF(Q349="","",IF(AND(N(K349)&gt;=3,G349&lt;&gt;"Perdido"),"Mover para Perdido",IF(Q349&lt;TODAY(),"Atrasado",IF(Q349=TODAY(),"Hoje","No prazo"))))</f>
        <v/>
      </c>
      <c r="S349" s="12"/>
      <c r="T349" s="12"/>
      <c r="U349" s="12"/>
      <c r="V349" s="7"/>
      <c r="W349" s="15" t="str">
        <f aca="true">IF(G349="","",IF(OR(G349="Novo contato",G349="Em conversa"),IF(J349="",TODAY(),J349+1),IF(G349="Avaliação marcada",IF(L349="",TODAY(),L349-1),IF(G349="Proposta enviada",IF(J349="",TODAY(),J349+2),IF(G349="Fechou pacote",IF(J349="",TODAY(),J349+7),IF(G349="Em tratamento",IF(M349="",TODAY(),IF(TODAY()&lt;=M349+1,M349+1,EDATE(M349,6)-30)),IF(G349="Pós-venda",IF(J349="",TODAY(),J349+7),IF(G349="Perdido",IF(J349="",TODAY(),J349+60),""))))))))</f>
        <v/>
      </c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3" t="str">
        <f aca="false">IF(OR(E350="",E350="A completar",E350="Ainda não sabe"),"",IF(OR(E350="Limpeza de pele",E350="Peeling de diamante",E350="Microagulhamento"),"Rosto","Corpo"))</f>
        <v/>
      </c>
      <c r="G350" s="12"/>
      <c r="H350" s="12"/>
      <c r="I350" s="12"/>
      <c r="J350" s="14"/>
      <c r="K350" s="12"/>
      <c r="L350" s="14"/>
      <c r="M350" s="14"/>
      <c r="N350" s="12"/>
      <c r="O350" s="12"/>
      <c r="P350" s="15" t="str">
        <f aca="false">IF(M350="","",EDATE(M350,6))</f>
        <v/>
      </c>
      <c r="Q350" s="15" t="str">
        <f aca="false">IF(W350="","",IF(WEEKDAY(W350)=1,W350+1,W350))</f>
        <v/>
      </c>
      <c r="R350" s="13" t="str">
        <f aca="true">IF(Q350="","",IF(AND(N(K350)&gt;=3,G350&lt;&gt;"Perdido"),"Mover para Perdido",IF(Q350&lt;TODAY(),"Atrasado",IF(Q350=TODAY(),"Hoje","No prazo"))))</f>
        <v/>
      </c>
      <c r="S350" s="12"/>
      <c r="T350" s="12"/>
      <c r="U350" s="12"/>
      <c r="V350" s="7"/>
      <c r="W350" s="15" t="str">
        <f aca="true">IF(G350="","",IF(OR(G350="Novo contato",G350="Em conversa"),IF(J350="",TODAY(),J350+1),IF(G350="Avaliação marcada",IF(L350="",TODAY(),L350-1),IF(G350="Proposta enviada",IF(J350="",TODAY(),J350+2),IF(G350="Fechou pacote",IF(J350="",TODAY(),J350+7),IF(G350="Em tratamento",IF(M350="",TODAY(),IF(TODAY()&lt;=M350+1,M350+1,EDATE(M350,6)-30)),IF(G350="Pós-venda",IF(J350="",TODAY(),J350+7),IF(G350="Perdido",IF(J350="",TODAY(),J350+60),""))))))))</f>
        <v/>
      </c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3" t="str">
        <f aca="false">IF(OR(E351="",E351="A completar",E351="Ainda não sabe"),"",IF(OR(E351="Limpeza de pele",E351="Peeling de diamante",E351="Microagulhamento"),"Rosto","Corpo"))</f>
        <v/>
      </c>
      <c r="G351" s="12"/>
      <c r="H351" s="12"/>
      <c r="I351" s="12"/>
      <c r="J351" s="14"/>
      <c r="K351" s="12"/>
      <c r="L351" s="14"/>
      <c r="M351" s="14"/>
      <c r="N351" s="12"/>
      <c r="O351" s="12"/>
      <c r="P351" s="15" t="str">
        <f aca="false">IF(M351="","",EDATE(M351,6))</f>
        <v/>
      </c>
      <c r="Q351" s="15" t="str">
        <f aca="false">IF(W351="","",IF(WEEKDAY(W351)=1,W351+1,W351))</f>
        <v/>
      </c>
      <c r="R351" s="13" t="str">
        <f aca="true">IF(Q351="","",IF(AND(N(K351)&gt;=3,G351&lt;&gt;"Perdido"),"Mover para Perdido",IF(Q351&lt;TODAY(),"Atrasado",IF(Q351=TODAY(),"Hoje","No prazo"))))</f>
        <v/>
      </c>
      <c r="S351" s="12"/>
      <c r="T351" s="12"/>
      <c r="U351" s="12"/>
      <c r="V351" s="7"/>
      <c r="W351" s="15" t="str">
        <f aca="true">IF(G351="","",IF(OR(G351="Novo contato",G351="Em conversa"),IF(J351="",TODAY(),J351+1),IF(G351="Avaliação marcada",IF(L351="",TODAY(),L351-1),IF(G351="Proposta enviada",IF(J351="",TODAY(),J351+2),IF(G351="Fechou pacote",IF(J351="",TODAY(),J351+7),IF(G351="Em tratamento",IF(M351="",TODAY(),IF(TODAY()&lt;=M351+1,M351+1,EDATE(M351,6)-30)),IF(G351="Pós-venda",IF(J351="",TODAY(),J351+7),IF(G351="Perdido",IF(J351="",TODAY(),J351+60),""))))))))</f>
        <v/>
      </c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3" t="str">
        <f aca="false">IF(OR(E352="",E352="A completar",E352="Ainda não sabe"),"",IF(OR(E352="Limpeza de pele",E352="Peeling de diamante",E352="Microagulhamento"),"Rosto","Corpo"))</f>
        <v/>
      </c>
      <c r="G352" s="12"/>
      <c r="H352" s="12"/>
      <c r="I352" s="12"/>
      <c r="J352" s="14"/>
      <c r="K352" s="12"/>
      <c r="L352" s="14"/>
      <c r="M352" s="14"/>
      <c r="N352" s="12"/>
      <c r="O352" s="12"/>
      <c r="P352" s="15" t="str">
        <f aca="false">IF(M352="","",EDATE(M352,6))</f>
        <v/>
      </c>
      <c r="Q352" s="15" t="str">
        <f aca="false">IF(W352="","",IF(WEEKDAY(W352)=1,W352+1,W352))</f>
        <v/>
      </c>
      <c r="R352" s="13" t="str">
        <f aca="true">IF(Q352="","",IF(AND(N(K352)&gt;=3,G352&lt;&gt;"Perdido"),"Mover para Perdido",IF(Q352&lt;TODAY(),"Atrasado",IF(Q352=TODAY(),"Hoje","No prazo"))))</f>
        <v/>
      </c>
      <c r="S352" s="12"/>
      <c r="T352" s="12"/>
      <c r="U352" s="12"/>
      <c r="V352" s="7"/>
      <c r="W352" s="15" t="str">
        <f aca="true">IF(G352="","",IF(OR(G352="Novo contato",G352="Em conversa"),IF(J352="",TODAY(),J352+1),IF(G352="Avaliação marcada",IF(L352="",TODAY(),L352-1),IF(G352="Proposta enviada",IF(J352="",TODAY(),J352+2),IF(G352="Fechou pacote",IF(J352="",TODAY(),J352+7),IF(G352="Em tratamento",IF(M352="",TODAY(),IF(TODAY()&lt;=M352+1,M352+1,EDATE(M352,6)-30)),IF(G352="Pós-venda",IF(J352="",TODAY(),J352+7),IF(G352="Perdido",IF(J352="",TODAY(),J352+60),""))))))))</f>
        <v/>
      </c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3" t="str">
        <f aca="false">IF(OR(E353="",E353="A completar",E353="Ainda não sabe"),"",IF(OR(E353="Limpeza de pele",E353="Peeling de diamante",E353="Microagulhamento"),"Rosto","Corpo"))</f>
        <v/>
      </c>
      <c r="G353" s="12"/>
      <c r="H353" s="12"/>
      <c r="I353" s="12"/>
      <c r="J353" s="14"/>
      <c r="K353" s="12"/>
      <c r="L353" s="14"/>
      <c r="M353" s="14"/>
      <c r="N353" s="12"/>
      <c r="O353" s="12"/>
      <c r="P353" s="15" t="str">
        <f aca="false">IF(M353="","",EDATE(M353,6))</f>
        <v/>
      </c>
      <c r="Q353" s="15" t="str">
        <f aca="false">IF(W353="","",IF(WEEKDAY(W353)=1,W353+1,W353))</f>
        <v/>
      </c>
      <c r="R353" s="13" t="str">
        <f aca="true">IF(Q353="","",IF(AND(N(K353)&gt;=3,G353&lt;&gt;"Perdido"),"Mover para Perdido",IF(Q353&lt;TODAY(),"Atrasado",IF(Q353=TODAY(),"Hoje","No prazo"))))</f>
        <v/>
      </c>
      <c r="S353" s="12"/>
      <c r="T353" s="12"/>
      <c r="U353" s="12"/>
      <c r="V353" s="7"/>
      <c r="W353" s="15" t="str">
        <f aca="true">IF(G353="","",IF(OR(G353="Novo contato",G353="Em conversa"),IF(J353="",TODAY(),J353+1),IF(G353="Avaliação marcada",IF(L353="",TODAY(),L353-1),IF(G353="Proposta enviada",IF(J353="",TODAY(),J353+2),IF(G353="Fechou pacote",IF(J353="",TODAY(),J353+7),IF(G353="Em tratamento",IF(M353="",TODAY(),IF(TODAY()&lt;=M353+1,M353+1,EDATE(M353,6)-30)),IF(G353="Pós-venda",IF(J353="",TODAY(),J353+7),IF(G353="Perdido",IF(J353="",TODAY(),J353+60),""))))))))</f>
        <v/>
      </c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3" t="str">
        <f aca="false">IF(OR(E354="",E354="A completar",E354="Ainda não sabe"),"",IF(OR(E354="Limpeza de pele",E354="Peeling de diamante",E354="Microagulhamento"),"Rosto","Corpo"))</f>
        <v/>
      </c>
      <c r="G354" s="12"/>
      <c r="H354" s="12"/>
      <c r="I354" s="12"/>
      <c r="J354" s="14"/>
      <c r="K354" s="12"/>
      <c r="L354" s="14"/>
      <c r="M354" s="14"/>
      <c r="N354" s="12"/>
      <c r="O354" s="12"/>
      <c r="P354" s="15" t="str">
        <f aca="false">IF(M354="","",EDATE(M354,6))</f>
        <v/>
      </c>
      <c r="Q354" s="15" t="str">
        <f aca="false">IF(W354="","",IF(WEEKDAY(W354)=1,W354+1,W354))</f>
        <v/>
      </c>
      <c r="R354" s="13" t="str">
        <f aca="true">IF(Q354="","",IF(AND(N(K354)&gt;=3,G354&lt;&gt;"Perdido"),"Mover para Perdido",IF(Q354&lt;TODAY(),"Atrasado",IF(Q354=TODAY(),"Hoje","No prazo"))))</f>
        <v/>
      </c>
      <c r="S354" s="12"/>
      <c r="T354" s="12"/>
      <c r="U354" s="12"/>
      <c r="V354" s="7"/>
      <c r="W354" s="15" t="str">
        <f aca="true">IF(G354="","",IF(OR(G354="Novo contato",G354="Em conversa"),IF(J354="",TODAY(),J354+1),IF(G354="Avaliação marcada",IF(L354="",TODAY(),L354-1),IF(G354="Proposta enviada",IF(J354="",TODAY(),J354+2),IF(G354="Fechou pacote",IF(J354="",TODAY(),J354+7),IF(G354="Em tratamento",IF(M354="",TODAY(),IF(TODAY()&lt;=M354+1,M354+1,EDATE(M354,6)-30)),IF(G354="Pós-venda",IF(J354="",TODAY(),J354+7),IF(G354="Perdido",IF(J354="",TODAY(),J354+60),""))))))))</f>
        <v/>
      </c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3" t="str">
        <f aca="false">IF(OR(E355="",E355="A completar",E355="Ainda não sabe"),"",IF(OR(E355="Limpeza de pele",E355="Peeling de diamante",E355="Microagulhamento"),"Rosto","Corpo"))</f>
        <v/>
      </c>
      <c r="G355" s="12"/>
      <c r="H355" s="12"/>
      <c r="I355" s="12"/>
      <c r="J355" s="14"/>
      <c r="K355" s="12"/>
      <c r="L355" s="14"/>
      <c r="M355" s="14"/>
      <c r="N355" s="12"/>
      <c r="O355" s="12"/>
      <c r="P355" s="15" t="str">
        <f aca="false">IF(M355="","",EDATE(M355,6))</f>
        <v/>
      </c>
      <c r="Q355" s="15" t="str">
        <f aca="false">IF(W355="","",IF(WEEKDAY(W355)=1,W355+1,W355))</f>
        <v/>
      </c>
      <c r="R355" s="13" t="str">
        <f aca="true">IF(Q355="","",IF(AND(N(K355)&gt;=3,G355&lt;&gt;"Perdido"),"Mover para Perdido",IF(Q355&lt;TODAY(),"Atrasado",IF(Q355=TODAY(),"Hoje","No prazo"))))</f>
        <v/>
      </c>
      <c r="S355" s="12"/>
      <c r="T355" s="12"/>
      <c r="U355" s="12"/>
      <c r="V355" s="7"/>
      <c r="W355" s="15" t="str">
        <f aca="true">IF(G355="","",IF(OR(G355="Novo contato",G355="Em conversa"),IF(J355="",TODAY(),J355+1),IF(G355="Avaliação marcada",IF(L355="",TODAY(),L355-1),IF(G355="Proposta enviada",IF(J355="",TODAY(),J355+2),IF(G355="Fechou pacote",IF(J355="",TODAY(),J355+7),IF(G355="Em tratamento",IF(M355="",TODAY(),IF(TODAY()&lt;=M355+1,M355+1,EDATE(M355,6)-30)),IF(G355="Pós-venda",IF(J355="",TODAY(),J355+7),IF(G355="Perdido",IF(J355="",TODAY(),J355+60),""))))))))</f>
        <v/>
      </c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3" t="str">
        <f aca="false">IF(OR(E356="",E356="A completar",E356="Ainda não sabe"),"",IF(OR(E356="Limpeza de pele",E356="Peeling de diamante",E356="Microagulhamento"),"Rosto","Corpo"))</f>
        <v/>
      </c>
      <c r="G356" s="12"/>
      <c r="H356" s="12"/>
      <c r="I356" s="12"/>
      <c r="J356" s="14"/>
      <c r="K356" s="12"/>
      <c r="L356" s="14"/>
      <c r="M356" s="14"/>
      <c r="N356" s="12"/>
      <c r="O356" s="12"/>
      <c r="P356" s="15" t="str">
        <f aca="false">IF(M356="","",EDATE(M356,6))</f>
        <v/>
      </c>
      <c r="Q356" s="15" t="str">
        <f aca="false">IF(W356="","",IF(WEEKDAY(W356)=1,W356+1,W356))</f>
        <v/>
      </c>
      <c r="R356" s="13" t="str">
        <f aca="true">IF(Q356="","",IF(AND(N(K356)&gt;=3,G356&lt;&gt;"Perdido"),"Mover para Perdido",IF(Q356&lt;TODAY(),"Atrasado",IF(Q356=TODAY(),"Hoje","No prazo"))))</f>
        <v/>
      </c>
      <c r="S356" s="12"/>
      <c r="T356" s="12"/>
      <c r="U356" s="12"/>
      <c r="V356" s="7"/>
      <c r="W356" s="15" t="str">
        <f aca="true">IF(G356="","",IF(OR(G356="Novo contato",G356="Em conversa"),IF(J356="",TODAY(),J356+1),IF(G356="Avaliação marcada",IF(L356="",TODAY(),L356-1),IF(G356="Proposta enviada",IF(J356="",TODAY(),J356+2),IF(G356="Fechou pacote",IF(J356="",TODAY(),J356+7),IF(G356="Em tratamento",IF(M356="",TODAY(),IF(TODAY()&lt;=M356+1,M356+1,EDATE(M356,6)-30)),IF(G356="Pós-venda",IF(J356="",TODAY(),J356+7),IF(G356="Perdido",IF(J356="",TODAY(),J356+60),""))))))))</f>
        <v/>
      </c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3" t="str">
        <f aca="false">IF(OR(E357="",E357="A completar",E357="Ainda não sabe"),"",IF(OR(E357="Limpeza de pele",E357="Peeling de diamante",E357="Microagulhamento"),"Rosto","Corpo"))</f>
        <v/>
      </c>
      <c r="G357" s="12"/>
      <c r="H357" s="12"/>
      <c r="I357" s="12"/>
      <c r="J357" s="14"/>
      <c r="K357" s="12"/>
      <c r="L357" s="14"/>
      <c r="M357" s="14"/>
      <c r="N357" s="12"/>
      <c r="O357" s="12"/>
      <c r="P357" s="15" t="str">
        <f aca="false">IF(M357="","",EDATE(M357,6))</f>
        <v/>
      </c>
      <c r="Q357" s="15" t="str">
        <f aca="false">IF(W357="","",IF(WEEKDAY(W357)=1,W357+1,W357))</f>
        <v/>
      </c>
      <c r="R357" s="13" t="str">
        <f aca="true">IF(Q357="","",IF(AND(N(K357)&gt;=3,G357&lt;&gt;"Perdido"),"Mover para Perdido",IF(Q357&lt;TODAY(),"Atrasado",IF(Q357=TODAY(),"Hoje","No prazo"))))</f>
        <v/>
      </c>
      <c r="S357" s="12"/>
      <c r="T357" s="12"/>
      <c r="U357" s="12"/>
      <c r="V357" s="7"/>
      <c r="W357" s="15" t="str">
        <f aca="true">IF(G357="","",IF(OR(G357="Novo contato",G357="Em conversa"),IF(J357="",TODAY(),J357+1),IF(G357="Avaliação marcada",IF(L357="",TODAY(),L357-1),IF(G357="Proposta enviada",IF(J357="",TODAY(),J357+2),IF(G357="Fechou pacote",IF(J357="",TODAY(),J357+7),IF(G357="Em tratamento",IF(M357="",TODAY(),IF(TODAY()&lt;=M357+1,M357+1,EDATE(M357,6)-30)),IF(G357="Pós-venda",IF(J357="",TODAY(),J357+7),IF(G357="Perdido",IF(J357="",TODAY(),J357+60),""))))))))</f>
        <v/>
      </c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3" t="str">
        <f aca="false">IF(OR(E358="",E358="A completar",E358="Ainda não sabe"),"",IF(OR(E358="Limpeza de pele",E358="Peeling de diamante",E358="Microagulhamento"),"Rosto","Corpo"))</f>
        <v/>
      </c>
      <c r="G358" s="12"/>
      <c r="H358" s="12"/>
      <c r="I358" s="12"/>
      <c r="J358" s="14"/>
      <c r="K358" s="12"/>
      <c r="L358" s="14"/>
      <c r="M358" s="14"/>
      <c r="N358" s="12"/>
      <c r="O358" s="12"/>
      <c r="P358" s="15" t="str">
        <f aca="false">IF(M358="","",EDATE(M358,6))</f>
        <v/>
      </c>
      <c r="Q358" s="15" t="str">
        <f aca="false">IF(W358="","",IF(WEEKDAY(W358)=1,W358+1,W358))</f>
        <v/>
      </c>
      <c r="R358" s="13" t="str">
        <f aca="true">IF(Q358="","",IF(AND(N(K358)&gt;=3,G358&lt;&gt;"Perdido"),"Mover para Perdido",IF(Q358&lt;TODAY(),"Atrasado",IF(Q358=TODAY(),"Hoje","No prazo"))))</f>
        <v/>
      </c>
      <c r="S358" s="12"/>
      <c r="T358" s="12"/>
      <c r="U358" s="12"/>
      <c r="V358" s="7"/>
      <c r="W358" s="15" t="str">
        <f aca="true">IF(G358="","",IF(OR(G358="Novo contato",G358="Em conversa"),IF(J358="",TODAY(),J358+1),IF(G358="Avaliação marcada",IF(L358="",TODAY(),L358-1),IF(G358="Proposta enviada",IF(J358="",TODAY(),J358+2),IF(G358="Fechou pacote",IF(J358="",TODAY(),J358+7),IF(G358="Em tratamento",IF(M358="",TODAY(),IF(TODAY()&lt;=M358+1,M358+1,EDATE(M358,6)-30)),IF(G358="Pós-venda",IF(J358="",TODAY(),J358+7),IF(G358="Perdido",IF(J358="",TODAY(),J358+60),""))))))))</f>
        <v/>
      </c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3" t="str">
        <f aca="false">IF(OR(E359="",E359="A completar",E359="Ainda não sabe"),"",IF(OR(E359="Limpeza de pele",E359="Peeling de diamante",E359="Microagulhamento"),"Rosto","Corpo"))</f>
        <v/>
      </c>
      <c r="G359" s="12"/>
      <c r="H359" s="12"/>
      <c r="I359" s="12"/>
      <c r="J359" s="14"/>
      <c r="K359" s="12"/>
      <c r="L359" s="14"/>
      <c r="M359" s="14"/>
      <c r="N359" s="12"/>
      <c r="O359" s="12"/>
      <c r="P359" s="15" t="str">
        <f aca="false">IF(M359="","",EDATE(M359,6))</f>
        <v/>
      </c>
      <c r="Q359" s="15" t="str">
        <f aca="false">IF(W359="","",IF(WEEKDAY(W359)=1,W359+1,W359))</f>
        <v/>
      </c>
      <c r="R359" s="13" t="str">
        <f aca="true">IF(Q359="","",IF(AND(N(K359)&gt;=3,G359&lt;&gt;"Perdido"),"Mover para Perdido",IF(Q359&lt;TODAY(),"Atrasado",IF(Q359=TODAY(),"Hoje","No prazo"))))</f>
        <v/>
      </c>
      <c r="S359" s="12"/>
      <c r="T359" s="12"/>
      <c r="U359" s="12"/>
      <c r="V359" s="7"/>
      <c r="W359" s="15" t="str">
        <f aca="true">IF(G359="","",IF(OR(G359="Novo contato",G359="Em conversa"),IF(J359="",TODAY(),J359+1),IF(G359="Avaliação marcada",IF(L359="",TODAY(),L359-1),IF(G359="Proposta enviada",IF(J359="",TODAY(),J359+2),IF(G359="Fechou pacote",IF(J359="",TODAY(),J359+7),IF(G359="Em tratamento",IF(M359="",TODAY(),IF(TODAY()&lt;=M359+1,M359+1,EDATE(M359,6)-30)),IF(G359="Pós-venda",IF(J359="",TODAY(),J359+7),IF(G359="Perdido",IF(J359="",TODAY(),J359+60),""))))))))</f>
        <v/>
      </c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3" t="str">
        <f aca="false">IF(OR(E360="",E360="A completar",E360="Ainda não sabe"),"",IF(OR(E360="Limpeza de pele",E360="Peeling de diamante",E360="Microagulhamento"),"Rosto","Corpo"))</f>
        <v/>
      </c>
      <c r="G360" s="12"/>
      <c r="H360" s="12"/>
      <c r="I360" s="12"/>
      <c r="J360" s="14"/>
      <c r="K360" s="12"/>
      <c r="L360" s="14"/>
      <c r="M360" s="14"/>
      <c r="N360" s="12"/>
      <c r="O360" s="12"/>
      <c r="P360" s="15" t="str">
        <f aca="false">IF(M360="","",EDATE(M360,6))</f>
        <v/>
      </c>
      <c r="Q360" s="15" t="str">
        <f aca="false">IF(W360="","",IF(WEEKDAY(W360)=1,W360+1,W360))</f>
        <v/>
      </c>
      <c r="R360" s="13" t="str">
        <f aca="true">IF(Q360="","",IF(AND(N(K360)&gt;=3,G360&lt;&gt;"Perdido"),"Mover para Perdido",IF(Q360&lt;TODAY(),"Atrasado",IF(Q360=TODAY(),"Hoje","No prazo"))))</f>
        <v/>
      </c>
      <c r="S360" s="12"/>
      <c r="T360" s="12"/>
      <c r="U360" s="12"/>
      <c r="V360" s="7"/>
      <c r="W360" s="15" t="str">
        <f aca="true">IF(G360="","",IF(OR(G360="Novo contato",G360="Em conversa"),IF(J360="",TODAY(),J360+1),IF(G360="Avaliação marcada",IF(L360="",TODAY(),L360-1),IF(G360="Proposta enviada",IF(J360="",TODAY(),J360+2),IF(G360="Fechou pacote",IF(J360="",TODAY(),J360+7),IF(G360="Em tratamento",IF(M360="",TODAY(),IF(TODAY()&lt;=M360+1,M360+1,EDATE(M360,6)-30)),IF(G360="Pós-venda",IF(J360="",TODAY(),J360+7),IF(G360="Perdido",IF(J360="",TODAY(),J360+60),""))))))))</f>
        <v/>
      </c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3" t="str">
        <f aca="false">IF(OR(E361="",E361="A completar",E361="Ainda não sabe"),"",IF(OR(E361="Limpeza de pele",E361="Peeling de diamante",E361="Microagulhamento"),"Rosto","Corpo"))</f>
        <v/>
      </c>
      <c r="G361" s="12"/>
      <c r="H361" s="12"/>
      <c r="I361" s="12"/>
      <c r="J361" s="14"/>
      <c r="K361" s="12"/>
      <c r="L361" s="14"/>
      <c r="M361" s="14"/>
      <c r="N361" s="12"/>
      <c r="O361" s="12"/>
      <c r="P361" s="15" t="str">
        <f aca="false">IF(M361="","",EDATE(M361,6))</f>
        <v/>
      </c>
      <c r="Q361" s="15" t="str">
        <f aca="false">IF(W361="","",IF(WEEKDAY(W361)=1,W361+1,W361))</f>
        <v/>
      </c>
      <c r="R361" s="13" t="str">
        <f aca="true">IF(Q361="","",IF(AND(N(K361)&gt;=3,G361&lt;&gt;"Perdido"),"Mover para Perdido",IF(Q361&lt;TODAY(),"Atrasado",IF(Q361=TODAY(),"Hoje","No prazo"))))</f>
        <v/>
      </c>
      <c r="S361" s="12"/>
      <c r="T361" s="12"/>
      <c r="U361" s="12"/>
      <c r="V361" s="7"/>
      <c r="W361" s="15" t="str">
        <f aca="true">IF(G361="","",IF(OR(G361="Novo contato",G361="Em conversa"),IF(J361="",TODAY(),J361+1),IF(G361="Avaliação marcada",IF(L361="",TODAY(),L361-1),IF(G361="Proposta enviada",IF(J361="",TODAY(),J361+2),IF(G361="Fechou pacote",IF(J361="",TODAY(),J361+7),IF(G361="Em tratamento",IF(M361="",TODAY(),IF(TODAY()&lt;=M361+1,M361+1,EDATE(M361,6)-30)),IF(G361="Pós-venda",IF(J361="",TODAY(),J361+7),IF(G361="Perdido",IF(J361="",TODAY(),J361+60),""))))))))</f>
        <v/>
      </c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3" t="str">
        <f aca="false">IF(OR(E362="",E362="A completar",E362="Ainda não sabe"),"",IF(OR(E362="Limpeza de pele",E362="Peeling de diamante",E362="Microagulhamento"),"Rosto","Corpo"))</f>
        <v/>
      </c>
      <c r="G362" s="12"/>
      <c r="H362" s="12"/>
      <c r="I362" s="12"/>
      <c r="J362" s="14"/>
      <c r="K362" s="12"/>
      <c r="L362" s="14"/>
      <c r="M362" s="14"/>
      <c r="N362" s="12"/>
      <c r="O362" s="12"/>
      <c r="P362" s="15" t="str">
        <f aca="false">IF(M362="","",EDATE(M362,6))</f>
        <v/>
      </c>
      <c r="Q362" s="15" t="str">
        <f aca="false">IF(W362="","",IF(WEEKDAY(W362)=1,W362+1,W362))</f>
        <v/>
      </c>
      <c r="R362" s="13" t="str">
        <f aca="true">IF(Q362="","",IF(AND(N(K362)&gt;=3,G362&lt;&gt;"Perdido"),"Mover para Perdido",IF(Q362&lt;TODAY(),"Atrasado",IF(Q362=TODAY(),"Hoje","No prazo"))))</f>
        <v/>
      </c>
      <c r="S362" s="12"/>
      <c r="T362" s="12"/>
      <c r="U362" s="12"/>
      <c r="V362" s="7"/>
      <c r="W362" s="15" t="str">
        <f aca="true">IF(G362="","",IF(OR(G362="Novo contato",G362="Em conversa"),IF(J362="",TODAY(),J362+1),IF(G362="Avaliação marcada",IF(L362="",TODAY(),L362-1),IF(G362="Proposta enviada",IF(J362="",TODAY(),J362+2),IF(G362="Fechou pacote",IF(J362="",TODAY(),J362+7),IF(G362="Em tratamento",IF(M362="",TODAY(),IF(TODAY()&lt;=M362+1,M362+1,EDATE(M362,6)-30)),IF(G362="Pós-venda",IF(J362="",TODAY(),J362+7),IF(G362="Perdido",IF(J362="",TODAY(),J362+60),""))))))))</f>
        <v/>
      </c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3" t="str">
        <f aca="false">IF(OR(E363="",E363="A completar",E363="Ainda não sabe"),"",IF(OR(E363="Limpeza de pele",E363="Peeling de diamante",E363="Microagulhamento"),"Rosto","Corpo"))</f>
        <v/>
      </c>
      <c r="G363" s="12"/>
      <c r="H363" s="12"/>
      <c r="I363" s="12"/>
      <c r="J363" s="14"/>
      <c r="K363" s="12"/>
      <c r="L363" s="14"/>
      <c r="M363" s="14"/>
      <c r="N363" s="12"/>
      <c r="O363" s="12"/>
      <c r="P363" s="15" t="str">
        <f aca="false">IF(M363="","",EDATE(M363,6))</f>
        <v/>
      </c>
      <c r="Q363" s="15" t="str">
        <f aca="false">IF(W363="","",IF(WEEKDAY(W363)=1,W363+1,W363))</f>
        <v/>
      </c>
      <c r="R363" s="13" t="str">
        <f aca="true">IF(Q363="","",IF(AND(N(K363)&gt;=3,G363&lt;&gt;"Perdido"),"Mover para Perdido",IF(Q363&lt;TODAY(),"Atrasado",IF(Q363=TODAY(),"Hoje","No prazo"))))</f>
        <v/>
      </c>
      <c r="S363" s="12"/>
      <c r="T363" s="12"/>
      <c r="U363" s="12"/>
      <c r="V363" s="7"/>
      <c r="W363" s="15" t="str">
        <f aca="true">IF(G363="","",IF(OR(G363="Novo contato",G363="Em conversa"),IF(J363="",TODAY(),J363+1),IF(G363="Avaliação marcada",IF(L363="",TODAY(),L363-1),IF(G363="Proposta enviada",IF(J363="",TODAY(),J363+2),IF(G363="Fechou pacote",IF(J363="",TODAY(),J363+7),IF(G363="Em tratamento",IF(M363="",TODAY(),IF(TODAY()&lt;=M363+1,M363+1,EDATE(M363,6)-30)),IF(G363="Pós-venda",IF(J363="",TODAY(),J363+7),IF(G363="Perdido",IF(J363="",TODAY(),J363+60),""))))))))</f>
        <v/>
      </c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3" t="str">
        <f aca="false">IF(OR(E364="",E364="A completar",E364="Ainda não sabe"),"",IF(OR(E364="Limpeza de pele",E364="Peeling de diamante",E364="Microagulhamento"),"Rosto","Corpo"))</f>
        <v/>
      </c>
      <c r="G364" s="12"/>
      <c r="H364" s="12"/>
      <c r="I364" s="12"/>
      <c r="J364" s="14"/>
      <c r="K364" s="12"/>
      <c r="L364" s="14"/>
      <c r="M364" s="14"/>
      <c r="N364" s="12"/>
      <c r="O364" s="12"/>
      <c r="P364" s="15" t="str">
        <f aca="false">IF(M364="","",EDATE(M364,6))</f>
        <v/>
      </c>
      <c r="Q364" s="15" t="str">
        <f aca="false">IF(W364="","",IF(WEEKDAY(W364)=1,W364+1,W364))</f>
        <v/>
      </c>
      <c r="R364" s="13" t="str">
        <f aca="true">IF(Q364="","",IF(AND(N(K364)&gt;=3,G364&lt;&gt;"Perdido"),"Mover para Perdido",IF(Q364&lt;TODAY(),"Atrasado",IF(Q364=TODAY(),"Hoje","No prazo"))))</f>
        <v/>
      </c>
      <c r="S364" s="12"/>
      <c r="T364" s="12"/>
      <c r="U364" s="12"/>
      <c r="V364" s="7"/>
      <c r="W364" s="15" t="str">
        <f aca="true">IF(G364="","",IF(OR(G364="Novo contato",G364="Em conversa"),IF(J364="",TODAY(),J364+1),IF(G364="Avaliação marcada",IF(L364="",TODAY(),L364-1),IF(G364="Proposta enviada",IF(J364="",TODAY(),J364+2),IF(G364="Fechou pacote",IF(J364="",TODAY(),J364+7),IF(G364="Em tratamento",IF(M364="",TODAY(),IF(TODAY()&lt;=M364+1,M364+1,EDATE(M364,6)-30)),IF(G364="Pós-venda",IF(J364="",TODAY(),J364+7),IF(G364="Perdido",IF(J364="",TODAY(),J364+60),""))))))))</f>
        <v/>
      </c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3" t="str">
        <f aca="false">IF(OR(E365="",E365="A completar",E365="Ainda não sabe"),"",IF(OR(E365="Limpeza de pele",E365="Peeling de diamante",E365="Microagulhamento"),"Rosto","Corpo"))</f>
        <v/>
      </c>
      <c r="G365" s="12"/>
      <c r="H365" s="12"/>
      <c r="I365" s="12"/>
      <c r="J365" s="14"/>
      <c r="K365" s="12"/>
      <c r="L365" s="14"/>
      <c r="M365" s="14"/>
      <c r="N365" s="12"/>
      <c r="O365" s="12"/>
      <c r="P365" s="15" t="str">
        <f aca="false">IF(M365="","",EDATE(M365,6))</f>
        <v/>
      </c>
      <c r="Q365" s="15" t="str">
        <f aca="false">IF(W365="","",IF(WEEKDAY(W365)=1,W365+1,W365))</f>
        <v/>
      </c>
      <c r="R365" s="13" t="str">
        <f aca="true">IF(Q365="","",IF(AND(N(K365)&gt;=3,G365&lt;&gt;"Perdido"),"Mover para Perdido",IF(Q365&lt;TODAY(),"Atrasado",IF(Q365=TODAY(),"Hoje","No prazo"))))</f>
        <v/>
      </c>
      <c r="S365" s="12"/>
      <c r="T365" s="12"/>
      <c r="U365" s="12"/>
      <c r="V365" s="7"/>
      <c r="W365" s="15" t="str">
        <f aca="true">IF(G365="","",IF(OR(G365="Novo contato",G365="Em conversa"),IF(J365="",TODAY(),J365+1),IF(G365="Avaliação marcada",IF(L365="",TODAY(),L365-1),IF(G365="Proposta enviada",IF(J365="",TODAY(),J365+2),IF(G365="Fechou pacote",IF(J365="",TODAY(),J365+7),IF(G365="Em tratamento",IF(M365="",TODAY(),IF(TODAY()&lt;=M365+1,M365+1,EDATE(M365,6)-30)),IF(G365="Pós-venda",IF(J365="",TODAY(),J365+7),IF(G365="Perdido",IF(J365="",TODAY(),J365+60),""))))))))</f>
        <v/>
      </c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3" t="str">
        <f aca="false">IF(OR(E366="",E366="A completar",E366="Ainda não sabe"),"",IF(OR(E366="Limpeza de pele",E366="Peeling de diamante",E366="Microagulhamento"),"Rosto","Corpo"))</f>
        <v/>
      </c>
      <c r="G366" s="12"/>
      <c r="H366" s="12"/>
      <c r="I366" s="12"/>
      <c r="J366" s="14"/>
      <c r="K366" s="12"/>
      <c r="L366" s="14"/>
      <c r="M366" s="14"/>
      <c r="N366" s="12"/>
      <c r="O366" s="12"/>
      <c r="P366" s="15" t="str">
        <f aca="false">IF(M366="","",EDATE(M366,6))</f>
        <v/>
      </c>
      <c r="Q366" s="15" t="str">
        <f aca="false">IF(W366="","",IF(WEEKDAY(W366)=1,W366+1,W366))</f>
        <v/>
      </c>
      <c r="R366" s="13" t="str">
        <f aca="true">IF(Q366="","",IF(AND(N(K366)&gt;=3,G366&lt;&gt;"Perdido"),"Mover para Perdido",IF(Q366&lt;TODAY(),"Atrasado",IF(Q366=TODAY(),"Hoje","No prazo"))))</f>
        <v/>
      </c>
      <c r="S366" s="12"/>
      <c r="T366" s="12"/>
      <c r="U366" s="12"/>
      <c r="V366" s="7"/>
      <c r="W366" s="15" t="str">
        <f aca="true">IF(G366="","",IF(OR(G366="Novo contato",G366="Em conversa"),IF(J366="",TODAY(),J366+1),IF(G366="Avaliação marcada",IF(L366="",TODAY(),L366-1),IF(G366="Proposta enviada",IF(J366="",TODAY(),J366+2),IF(G366="Fechou pacote",IF(J366="",TODAY(),J366+7),IF(G366="Em tratamento",IF(M366="",TODAY(),IF(TODAY()&lt;=M366+1,M366+1,EDATE(M366,6)-30)),IF(G366="Pós-venda",IF(J366="",TODAY(),J366+7),IF(G366="Perdido",IF(J366="",TODAY(),J366+60),""))))))))</f>
        <v/>
      </c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3" t="str">
        <f aca="false">IF(OR(E367="",E367="A completar",E367="Ainda não sabe"),"",IF(OR(E367="Limpeza de pele",E367="Peeling de diamante",E367="Microagulhamento"),"Rosto","Corpo"))</f>
        <v/>
      </c>
      <c r="G367" s="12"/>
      <c r="H367" s="12"/>
      <c r="I367" s="12"/>
      <c r="J367" s="14"/>
      <c r="K367" s="12"/>
      <c r="L367" s="14"/>
      <c r="M367" s="14"/>
      <c r="N367" s="12"/>
      <c r="O367" s="12"/>
      <c r="P367" s="15" t="str">
        <f aca="false">IF(M367="","",EDATE(M367,6))</f>
        <v/>
      </c>
      <c r="Q367" s="15" t="str">
        <f aca="false">IF(W367="","",IF(WEEKDAY(W367)=1,W367+1,W367))</f>
        <v/>
      </c>
      <c r="R367" s="13" t="str">
        <f aca="true">IF(Q367="","",IF(AND(N(K367)&gt;=3,G367&lt;&gt;"Perdido"),"Mover para Perdido",IF(Q367&lt;TODAY(),"Atrasado",IF(Q367=TODAY(),"Hoje","No prazo"))))</f>
        <v/>
      </c>
      <c r="S367" s="12"/>
      <c r="T367" s="12"/>
      <c r="U367" s="12"/>
      <c r="V367" s="7"/>
      <c r="W367" s="15" t="str">
        <f aca="true">IF(G367="","",IF(OR(G367="Novo contato",G367="Em conversa"),IF(J367="",TODAY(),J367+1),IF(G367="Avaliação marcada",IF(L367="",TODAY(),L367-1),IF(G367="Proposta enviada",IF(J367="",TODAY(),J367+2),IF(G367="Fechou pacote",IF(J367="",TODAY(),J367+7),IF(G367="Em tratamento",IF(M367="",TODAY(),IF(TODAY()&lt;=M367+1,M367+1,EDATE(M367,6)-30)),IF(G367="Pós-venda",IF(J367="",TODAY(),J367+7),IF(G367="Perdido",IF(J367="",TODAY(),J367+60),""))))))))</f>
        <v/>
      </c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3" t="str">
        <f aca="false">IF(OR(E368="",E368="A completar",E368="Ainda não sabe"),"",IF(OR(E368="Limpeza de pele",E368="Peeling de diamante",E368="Microagulhamento"),"Rosto","Corpo"))</f>
        <v/>
      </c>
      <c r="G368" s="12"/>
      <c r="H368" s="12"/>
      <c r="I368" s="12"/>
      <c r="J368" s="14"/>
      <c r="K368" s="12"/>
      <c r="L368" s="14"/>
      <c r="M368" s="14"/>
      <c r="N368" s="12"/>
      <c r="O368" s="12"/>
      <c r="P368" s="15" t="str">
        <f aca="false">IF(M368="","",EDATE(M368,6))</f>
        <v/>
      </c>
      <c r="Q368" s="15" t="str">
        <f aca="false">IF(W368="","",IF(WEEKDAY(W368)=1,W368+1,W368))</f>
        <v/>
      </c>
      <c r="R368" s="13" t="str">
        <f aca="true">IF(Q368="","",IF(AND(N(K368)&gt;=3,G368&lt;&gt;"Perdido"),"Mover para Perdido",IF(Q368&lt;TODAY(),"Atrasado",IF(Q368=TODAY(),"Hoje","No prazo"))))</f>
        <v/>
      </c>
      <c r="S368" s="12"/>
      <c r="T368" s="12"/>
      <c r="U368" s="12"/>
      <c r="V368" s="7"/>
      <c r="W368" s="15" t="str">
        <f aca="true">IF(G368="","",IF(OR(G368="Novo contato",G368="Em conversa"),IF(J368="",TODAY(),J368+1),IF(G368="Avaliação marcada",IF(L368="",TODAY(),L368-1),IF(G368="Proposta enviada",IF(J368="",TODAY(),J368+2),IF(G368="Fechou pacote",IF(J368="",TODAY(),J368+7),IF(G368="Em tratamento",IF(M368="",TODAY(),IF(TODAY()&lt;=M368+1,M368+1,EDATE(M368,6)-30)),IF(G368="Pós-venda",IF(J368="",TODAY(),J368+7),IF(G368="Perdido",IF(J368="",TODAY(),J368+60),""))))))))</f>
        <v/>
      </c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3" t="str">
        <f aca="false">IF(OR(E369="",E369="A completar",E369="Ainda não sabe"),"",IF(OR(E369="Limpeza de pele",E369="Peeling de diamante",E369="Microagulhamento"),"Rosto","Corpo"))</f>
        <v/>
      </c>
      <c r="G369" s="12"/>
      <c r="H369" s="12"/>
      <c r="I369" s="12"/>
      <c r="J369" s="14"/>
      <c r="K369" s="12"/>
      <c r="L369" s="14"/>
      <c r="M369" s="14"/>
      <c r="N369" s="12"/>
      <c r="O369" s="12"/>
      <c r="P369" s="15" t="str">
        <f aca="false">IF(M369="","",EDATE(M369,6))</f>
        <v/>
      </c>
      <c r="Q369" s="15" t="str">
        <f aca="false">IF(W369="","",IF(WEEKDAY(W369)=1,W369+1,W369))</f>
        <v/>
      </c>
      <c r="R369" s="13" t="str">
        <f aca="true">IF(Q369="","",IF(AND(N(K369)&gt;=3,G369&lt;&gt;"Perdido"),"Mover para Perdido",IF(Q369&lt;TODAY(),"Atrasado",IF(Q369=TODAY(),"Hoje","No prazo"))))</f>
        <v/>
      </c>
      <c r="S369" s="12"/>
      <c r="T369" s="12"/>
      <c r="U369" s="12"/>
      <c r="V369" s="7"/>
      <c r="W369" s="15" t="str">
        <f aca="true">IF(G369="","",IF(OR(G369="Novo contato",G369="Em conversa"),IF(J369="",TODAY(),J369+1),IF(G369="Avaliação marcada",IF(L369="",TODAY(),L369-1),IF(G369="Proposta enviada",IF(J369="",TODAY(),J369+2),IF(G369="Fechou pacote",IF(J369="",TODAY(),J369+7),IF(G369="Em tratamento",IF(M369="",TODAY(),IF(TODAY()&lt;=M369+1,M369+1,EDATE(M369,6)-30)),IF(G369="Pós-venda",IF(J369="",TODAY(),J369+7),IF(G369="Perdido",IF(J369="",TODAY(),J369+60),""))))))))</f>
        <v/>
      </c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3" t="str">
        <f aca="false">IF(OR(E370="",E370="A completar",E370="Ainda não sabe"),"",IF(OR(E370="Limpeza de pele",E370="Peeling de diamante",E370="Microagulhamento"),"Rosto","Corpo"))</f>
        <v/>
      </c>
      <c r="G370" s="12"/>
      <c r="H370" s="12"/>
      <c r="I370" s="12"/>
      <c r="J370" s="14"/>
      <c r="K370" s="12"/>
      <c r="L370" s="14"/>
      <c r="M370" s="14"/>
      <c r="N370" s="12"/>
      <c r="O370" s="12"/>
      <c r="P370" s="15" t="str">
        <f aca="false">IF(M370="","",EDATE(M370,6))</f>
        <v/>
      </c>
      <c r="Q370" s="15" t="str">
        <f aca="false">IF(W370="","",IF(WEEKDAY(W370)=1,W370+1,W370))</f>
        <v/>
      </c>
      <c r="R370" s="13" t="str">
        <f aca="true">IF(Q370="","",IF(AND(N(K370)&gt;=3,G370&lt;&gt;"Perdido"),"Mover para Perdido",IF(Q370&lt;TODAY(),"Atrasado",IF(Q370=TODAY(),"Hoje","No prazo"))))</f>
        <v/>
      </c>
      <c r="S370" s="12"/>
      <c r="T370" s="12"/>
      <c r="U370" s="12"/>
      <c r="V370" s="7"/>
      <c r="W370" s="15" t="str">
        <f aca="true">IF(G370="","",IF(OR(G370="Novo contato",G370="Em conversa"),IF(J370="",TODAY(),J370+1),IF(G370="Avaliação marcada",IF(L370="",TODAY(),L370-1),IF(G370="Proposta enviada",IF(J370="",TODAY(),J370+2),IF(G370="Fechou pacote",IF(J370="",TODAY(),J370+7),IF(G370="Em tratamento",IF(M370="",TODAY(),IF(TODAY()&lt;=M370+1,M370+1,EDATE(M370,6)-30)),IF(G370="Pós-venda",IF(J370="",TODAY(),J370+7),IF(G370="Perdido",IF(J370="",TODAY(),J370+60),""))))))))</f>
        <v/>
      </c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3" t="str">
        <f aca="false">IF(OR(E371="",E371="A completar",E371="Ainda não sabe"),"",IF(OR(E371="Limpeza de pele",E371="Peeling de diamante",E371="Microagulhamento"),"Rosto","Corpo"))</f>
        <v/>
      </c>
      <c r="G371" s="12"/>
      <c r="H371" s="12"/>
      <c r="I371" s="12"/>
      <c r="J371" s="14"/>
      <c r="K371" s="12"/>
      <c r="L371" s="14"/>
      <c r="M371" s="14"/>
      <c r="N371" s="12"/>
      <c r="O371" s="12"/>
      <c r="P371" s="15" t="str">
        <f aca="false">IF(M371="","",EDATE(M371,6))</f>
        <v/>
      </c>
      <c r="Q371" s="15" t="str">
        <f aca="false">IF(W371="","",IF(WEEKDAY(W371)=1,W371+1,W371))</f>
        <v/>
      </c>
      <c r="R371" s="13" t="str">
        <f aca="true">IF(Q371="","",IF(AND(N(K371)&gt;=3,G371&lt;&gt;"Perdido"),"Mover para Perdido",IF(Q371&lt;TODAY(),"Atrasado",IF(Q371=TODAY(),"Hoje","No prazo"))))</f>
        <v/>
      </c>
      <c r="S371" s="12"/>
      <c r="T371" s="12"/>
      <c r="U371" s="12"/>
      <c r="V371" s="7"/>
      <c r="W371" s="15" t="str">
        <f aca="true">IF(G371="","",IF(OR(G371="Novo contato",G371="Em conversa"),IF(J371="",TODAY(),J371+1),IF(G371="Avaliação marcada",IF(L371="",TODAY(),L371-1),IF(G371="Proposta enviada",IF(J371="",TODAY(),J371+2),IF(G371="Fechou pacote",IF(J371="",TODAY(),J371+7),IF(G371="Em tratamento",IF(M371="",TODAY(),IF(TODAY()&lt;=M371+1,M371+1,EDATE(M371,6)-30)),IF(G371="Pós-venda",IF(J371="",TODAY(),J371+7),IF(G371="Perdido",IF(J371="",TODAY(),J371+60),""))))))))</f>
        <v/>
      </c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3" t="str">
        <f aca="false">IF(OR(E372="",E372="A completar",E372="Ainda não sabe"),"",IF(OR(E372="Limpeza de pele",E372="Peeling de diamante",E372="Microagulhamento"),"Rosto","Corpo"))</f>
        <v/>
      </c>
      <c r="G372" s="12"/>
      <c r="H372" s="12"/>
      <c r="I372" s="12"/>
      <c r="J372" s="14"/>
      <c r="K372" s="12"/>
      <c r="L372" s="14"/>
      <c r="M372" s="14"/>
      <c r="N372" s="12"/>
      <c r="O372" s="12"/>
      <c r="P372" s="15" t="str">
        <f aca="false">IF(M372="","",EDATE(M372,6))</f>
        <v/>
      </c>
      <c r="Q372" s="15" t="str">
        <f aca="false">IF(W372="","",IF(WEEKDAY(W372)=1,W372+1,W372))</f>
        <v/>
      </c>
      <c r="R372" s="13" t="str">
        <f aca="true">IF(Q372="","",IF(AND(N(K372)&gt;=3,G372&lt;&gt;"Perdido"),"Mover para Perdido",IF(Q372&lt;TODAY(),"Atrasado",IF(Q372=TODAY(),"Hoje","No prazo"))))</f>
        <v/>
      </c>
      <c r="S372" s="12"/>
      <c r="T372" s="12"/>
      <c r="U372" s="12"/>
      <c r="V372" s="7"/>
      <c r="W372" s="15" t="str">
        <f aca="true">IF(G372="","",IF(OR(G372="Novo contato",G372="Em conversa"),IF(J372="",TODAY(),J372+1),IF(G372="Avaliação marcada",IF(L372="",TODAY(),L372-1),IF(G372="Proposta enviada",IF(J372="",TODAY(),J372+2),IF(G372="Fechou pacote",IF(J372="",TODAY(),J372+7),IF(G372="Em tratamento",IF(M372="",TODAY(),IF(TODAY()&lt;=M372+1,M372+1,EDATE(M372,6)-30)),IF(G372="Pós-venda",IF(J372="",TODAY(),J372+7),IF(G372="Perdido",IF(J372="",TODAY(),J372+60),""))))))))</f>
        <v/>
      </c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3" t="str">
        <f aca="false">IF(OR(E373="",E373="A completar",E373="Ainda não sabe"),"",IF(OR(E373="Limpeza de pele",E373="Peeling de diamante",E373="Microagulhamento"),"Rosto","Corpo"))</f>
        <v/>
      </c>
      <c r="G373" s="12"/>
      <c r="H373" s="12"/>
      <c r="I373" s="12"/>
      <c r="J373" s="14"/>
      <c r="K373" s="12"/>
      <c r="L373" s="14"/>
      <c r="M373" s="14"/>
      <c r="N373" s="12"/>
      <c r="O373" s="12"/>
      <c r="P373" s="15" t="str">
        <f aca="false">IF(M373="","",EDATE(M373,6))</f>
        <v/>
      </c>
      <c r="Q373" s="15" t="str">
        <f aca="false">IF(W373="","",IF(WEEKDAY(W373)=1,W373+1,W373))</f>
        <v/>
      </c>
      <c r="R373" s="13" t="str">
        <f aca="true">IF(Q373="","",IF(AND(N(K373)&gt;=3,G373&lt;&gt;"Perdido"),"Mover para Perdido",IF(Q373&lt;TODAY(),"Atrasado",IF(Q373=TODAY(),"Hoje","No prazo"))))</f>
        <v/>
      </c>
      <c r="S373" s="12"/>
      <c r="T373" s="12"/>
      <c r="U373" s="12"/>
      <c r="V373" s="7"/>
      <c r="W373" s="15" t="str">
        <f aca="true">IF(G373="","",IF(OR(G373="Novo contato",G373="Em conversa"),IF(J373="",TODAY(),J373+1),IF(G373="Avaliação marcada",IF(L373="",TODAY(),L373-1),IF(G373="Proposta enviada",IF(J373="",TODAY(),J373+2),IF(G373="Fechou pacote",IF(J373="",TODAY(),J373+7),IF(G373="Em tratamento",IF(M373="",TODAY(),IF(TODAY()&lt;=M373+1,M373+1,EDATE(M373,6)-30)),IF(G373="Pós-venda",IF(J373="",TODAY(),J373+7),IF(G373="Perdido",IF(J373="",TODAY(),J373+60),""))))))))</f>
        <v/>
      </c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3" t="str">
        <f aca="false">IF(OR(E374="",E374="A completar",E374="Ainda não sabe"),"",IF(OR(E374="Limpeza de pele",E374="Peeling de diamante",E374="Microagulhamento"),"Rosto","Corpo"))</f>
        <v/>
      </c>
      <c r="G374" s="12"/>
      <c r="H374" s="12"/>
      <c r="I374" s="12"/>
      <c r="J374" s="14"/>
      <c r="K374" s="12"/>
      <c r="L374" s="14"/>
      <c r="M374" s="14"/>
      <c r="N374" s="12"/>
      <c r="O374" s="12"/>
      <c r="P374" s="15" t="str">
        <f aca="false">IF(M374="","",EDATE(M374,6))</f>
        <v/>
      </c>
      <c r="Q374" s="15" t="str">
        <f aca="false">IF(W374="","",IF(WEEKDAY(W374)=1,W374+1,W374))</f>
        <v/>
      </c>
      <c r="R374" s="13" t="str">
        <f aca="true">IF(Q374="","",IF(AND(N(K374)&gt;=3,G374&lt;&gt;"Perdido"),"Mover para Perdido",IF(Q374&lt;TODAY(),"Atrasado",IF(Q374=TODAY(),"Hoje","No prazo"))))</f>
        <v/>
      </c>
      <c r="S374" s="12"/>
      <c r="T374" s="12"/>
      <c r="U374" s="12"/>
      <c r="V374" s="7"/>
      <c r="W374" s="15" t="str">
        <f aca="true">IF(G374="","",IF(OR(G374="Novo contato",G374="Em conversa"),IF(J374="",TODAY(),J374+1),IF(G374="Avaliação marcada",IF(L374="",TODAY(),L374-1),IF(G374="Proposta enviada",IF(J374="",TODAY(),J374+2),IF(G374="Fechou pacote",IF(J374="",TODAY(),J374+7),IF(G374="Em tratamento",IF(M374="",TODAY(),IF(TODAY()&lt;=M374+1,M374+1,EDATE(M374,6)-30)),IF(G374="Pós-venda",IF(J374="",TODAY(),J374+7),IF(G374="Perdido",IF(J374="",TODAY(),J374+60),""))))))))</f>
        <v/>
      </c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3" t="str">
        <f aca="false">IF(OR(E375="",E375="A completar",E375="Ainda não sabe"),"",IF(OR(E375="Limpeza de pele",E375="Peeling de diamante",E375="Microagulhamento"),"Rosto","Corpo"))</f>
        <v/>
      </c>
      <c r="G375" s="12"/>
      <c r="H375" s="12"/>
      <c r="I375" s="12"/>
      <c r="J375" s="14"/>
      <c r="K375" s="12"/>
      <c r="L375" s="14"/>
      <c r="M375" s="14"/>
      <c r="N375" s="12"/>
      <c r="O375" s="12"/>
      <c r="P375" s="15" t="str">
        <f aca="false">IF(M375="","",EDATE(M375,6))</f>
        <v/>
      </c>
      <c r="Q375" s="15" t="str">
        <f aca="false">IF(W375="","",IF(WEEKDAY(W375)=1,W375+1,W375))</f>
        <v/>
      </c>
      <c r="R375" s="13" t="str">
        <f aca="true">IF(Q375="","",IF(AND(N(K375)&gt;=3,G375&lt;&gt;"Perdido"),"Mover para Perdido",IF(Q375&lt;TODAY(),"Atrasado",IF(Q375=TODAY(),"Hoje","No prazo"))))</f>
        <v/>
      </c>
      <c r="S375" s="12"/>
      <c r="T375" s="12"/>
      <c r="U375" s="12"/>
      <c r="V375" s="7"/>
      <c r="W375" s="15" t="str">
        <f aca="true">IF(G375="","",IF(OR(G375="Novo contato",G375="Em conversa"),IF(J375="",TODAY(),J375+1),IF(G375="Avaliação marcada",IF(L375="",TODAY(),L375-1),IF(G375="Proposta enviada",IF(J375="",TODAY(),J375+2),IF(G375="Fechou pacote",IF(J375="",TODAY(),J375+7),IF(G375="Em tratamento",IF(M375="",TODAY(),IF(TODAY()&lt;=M375+1,M375+1,EDATE(M375,6)-30)),IF(G375="Pós-venda",IF(J375="",TODAY(),J375+7),IF(G375="Perdido",IF(J375="",TODAY(),J375+60),""))))))))</f>
        <v/>
      </c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3" t="str">
        <f aca="false">IF(OR(E376="",E376="A completar",E376="Ainda não sabe"),"",IF(OR(E376="Limpeza de pele",E376="Peeling de diamante",E376="Microagulhamento"),"Rosto","Corpo"))</f>
        <v/>
      </c>
      <c r="G376" s="12"/>
      <c r="H376" s="12"/>
      <c r="I376" s="12"/>
      <c r="J376" s="14"/>
      <c r="K376" s="12"/>
      <c r="L376" s="14"/>
      <c r="M376" s="14"/>
      <c r="N376" s="12"/>
      <c r="O376" s="12"/>
      <c r="P376" s="15" t="str">
        <f aca="false">IF(M376="","",EDATE(M376,6))</f>
        <v/>
      </c>
      <c r="Q376" s="15" t="str">
        <f aca="false">IF(W376="","",IF(WEEKDAY(W376)=1,W376+1,W376))</f>
        <v/>
      </c>
      <c r="R376" s="13" t="str">
        <f aca="true">IF(Q376="","",IF(AND(N(K376)&gt;=3,G376&lt;&gt;"Perdido"),"Mover para Perdido",IF(Q376&lt;TODAY(),"Atrasado",IF(Q376=TODAY(),"Hoje","No prazo"))))</f>
        <v/>
      </c>
      <c r="S376" s="12"/>
      <c r="T376" s="12"/>
      <c r="U376" s="12"/>
      <c r="V376" s="7"/>
      <c r="W376" s="15" t="str">
        <f aca="true">IF(G376="","",IF(OR(G376="Novo contato",G376="Em conversa"),IF(J376="",TODAY(),J376+1),IF(G376="Avaliação marcada",IF(L376="",TODAY(),L376-1),IF(G376="Proposta enviada",IF(J376="",TODAY(),J376+2),IF(G376="Fechou pacote",IF(J376="",TODAY(),J376+7),IF(G376="Em tratamento",IF(M376="",TODAY(),IF(TODAY()&lt;=M376+1,M376+1,EDATE(M376,6)-30)),IF(G376="Pós-venda",IF(J376="",TODAY(),J376+7),IF(G376="Perdido",IF(J376="",TODAY(),J376+60),""))))))))</f>
        <v/>
      </c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3" t="str">
        <f aca="false">IF(OR(E377="",E377="A completar",E377="Ainda não sabe"),"",IF(OR(E377="Limpeza de pele",E377="Peeling de diamante",E377="Microagulhamento"),"Rosto","Corpo"))</f>
        <v/>
      </c>
      <c r="G377" s="12"/>
      <c r="H377" s="12"/>
      <c r="I377" s="12"/>
      <c r="J377" s="14"/>
      <c r="K377" s="12"/>
      <c r="L377" s="14"/>
      <c r="M377" s="14"/>
      <c r="N377" s="12"/>
      <c r="O377" s="12"/>
      <c r="P377" s="15" t="str">
        <f aca="false">IF(M377="","",EDATE(M377,6))</f>
        <v/>
      </c>
      <c r="Q377" s="15" t="str">
        <f aca="false">IF(W377="","",IF(WEEKDAY(W377)=1,W377+1,W377))</f>
        <v/>
      </c>
      <c r="R377" s="13" t="str">
        <f aca="true">IF(Q377="","",IF(AND(N(K377)&gt;=3,G377&lt;&gt;"Perdido"),"Mover para Perdido",IF(Q377&lt;TODAY(),"Atrasado",IF(Q377=TODAY(),"Hoje","No prazo"))))</f>
        <v/>
      </c>
      <c r="S377" s="12"/>
      <c r="T377" s="12"/>
      <c r="U377" s="12"/>
      <c r="V377" s="7"/>
      <c r="W377" s="15" t="str">
        <f aca="true">IF(G377="","",IF(OR(G377="Novo contato",G377="Em conversa"),IF(J377="",TODAY(),J377+1),IF(G377="Avaliação marcada",IF(L377="",TODAY(),L377-1),IF(G377="Proposta enviada",IF(J377="",TODAY(),J377+2),IF(G377="Fechou pacote",IF(J377="",TODAY(),J377+7),IF(G377="Em tratamento",IF(M377="",TODAY(),IF(TODAY()&lt;=M377+1,M377+1,EDATE(M377,6)-30)),IF(G377="Pós-venda",IF(J377="",TODAY(),J377+7),IF(G377="Perdido",IF(J377="",TODAY(),J377+60),""))))))))</f>
        <v/>
      </c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3" t="str">
        <f aca="false">IF(OR(E378="",E378="A completar",E378="Ainda não sabe"),"",IF(OR(E378="Limpeza de pele",E378="Peeling de diamante",E378="Microagulhamento"),"Rosto","Corpo"))</f>
        <v/>
      </c>
      <c r="G378" s="12"/>
      <c r="H378" s="12"/>
      <c r="I378" s="12"/>
      <c r="J378" s="14"/>
      <c r="K378" s="12"/>
      <c r="L378" s="14"/>
      <c r="M378" s="14"/>
      <c r="N378" s="12"/>
      <c r="O378" s="12"/>
      <c r="P378" s="15" t="str">
        <f aca="false">IF(M378="","",EDATE(M378,6))</f>
        <v/>
      </c>
      <c r="Q378" s="15" t="str">
        <f aca="false">IF(W378="","",IF(WEEKDAY(W378)=1,W378+1,W378))</f>
        <v/>
      </c>
      <c r="R378" s="13" t="str">
        <f aca="true">IF(Q378="","",IF(AND(N(K378)&gt;=3,G378&lt;&gt;"Perdido"),"Mover para Perdido",IF(Q378&lt;TODAY(),"Atrasado",IF(Q378=TODAY(),"Hoje","No prazo"))))</f>
        <v/>
      </c>
      <c r="S378" s="12"/>
      <c r="T378" s="12"/>
      <c r="U378" s="12"/>
      <c r="V378" s="7"/>
      <c r="W378" s="15" t="str">
        <f aca="true">IF(G378="","",IF(OR(G378="Novo contato",G378="Em conversa"),IF(J378="",TODAY(),J378+1),IF(G378="Avaliação marcada",IF(L378="",TODAY(),L378-1),IF(G378="Proposta enviada",IF(J378="",TODAY(),J378+2),IF(G378="Fechou pacote",IF(J378="",TODAY(),J378+7),IF(G378="Em tratamento",IF(M378="",TODAY(),IF(TODAY()&lt;=M378+1,M378+1,EDATE(M378,6)-30)),IF(G378="Pós-venda",IF(J378="",TODAY(),J378+7),IF(G378="Perdido",IF(J378="",TODAY(),J378+60),""))))))))</f>
        <v/>
      </c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3" t="str">
        <f aca="false">IF(OR(E379="",E379="A completar",E379="Ainda não sabe"),"",IF(OR(E379="Limpeza de pele",E379="Peeling de diamante",E379="Microagulhamento"),"Rosto","Corpo"))</f>
        <v/>
      </c>
      <c r="G379" s="12"/>
      <c r="H379" s="12"/>
      <c r="I379" s="12"/>
      <c r="J379" s="14"/>
      <c r="K379" s="12"/>
      <c r="L379" s="14"/>
      <c r="M379" s="14"/>
      <c r="N379" s="12"/>
      <c r="O379" s="12"/>
      <c r="P379" s="15" t="str">
        <f aca="false">IF(M379="","",EDATE(M379,6))</f>
        <v/>
      </c>
      <c r="Q379" s="15" t="str">
        <f aca="false">IF(W379="","",IF(WEEKDAY(W379)=1,W379+1,W379))</f>
        <v/>
      </c>
      <c r="R379" s="13" t="str">
        <f aca="true">IF(Q379="","",IF(AND(N(K379)&gt;=3,G379&lt;&gt;"Perdido"),"Mover para Perdido",IF(Q379&lt;TODAY(),"Atrasado",IF(Q379=TODAY(),"Hoje","No prazo"))))</f>
        <v/>
      </c>
      <c r="S379" s="12"/>
      <c r="T379" s="12"/>
      <c r="U379" s="12"/>
      <c r="V379" s="7"/>
      <c r="W379" s="15" t="str">
        <f aca="true">IF(G379="","",IF(OR(G379="Novo contato",G379="Em conversa"),IF(J379="",TODAY(),J379+1),IF(G379="Avaliação marcada",IF(L379="",TODAY(),L379-1),IF(G379="Proposta enviada",IF(J379="",TODAY(),J379+2),IF(G379="Fechou pacote",IF(J379="",TODAY(),J379+7),IF(G379="Em tratamento",IF(M379="",TODAY(),IF(TODAY()&lt;=M379+1,M379+1,EDATE(M379,6)-30)),IF(G379="Pós-venda",IF(J379="",TODAY(),J379+7),IF(G379="Perdido",IF(J379="",TODAY(),J379+60),""))))))))</f>
        <v/>
      </c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3" t="str">
        <f aca="false">IF(OR(E380="",E380="A completar",E380="Ainda não sabe"),"",IF(OR(E380="Limpeza de pele",E380="Peeling de diamante",E380="Microagulhamento"),"Rosto","Corpo"))</f>
        <v/>
      </c>
      <c r="G380" s="12"/>
      <c r="H380" s="12"/>
      <c r="I380" s="12"/>
      <c r="J380" s="14"/>
      <c r="K380" s="12"/>
      <c r="L380" s="14"/>
      <c r="M380" s="14"/>
      <c r="N380" s="12"/>
      <c r="O380" s="12"/>
      <c r="P380" s="15" t="str">
        <f aca="false">IF(M380="","",EDATE(M380,6))</f>
        <v/>
      </c>
      <c r="Q380" s="15" t="str">
        <f aca="false">IF(W380="","",IF(WEEKDAY(W380)=1,W380+1,W380))</f>
        <v/>
      </c>
      <c r="R380" s="13" t="str">
        <f aca="true">IF(Q380="","",IF(AND(N(K380)&gt;=3,G380&lt;&gt;"Perdido"),"Mover para Perdido",IF(Q380&lt;TODAY(),"Atrasado",IF(Q380=TODAY(),"Hoje","No prazo"))))</f>
        <v/>
      </c>
      <c r="S380" s="12"/>
      <c r="T380" s="12"/>
      <c r="U380" s="12"/>
      <c r="V380" s="7"/>
      <c r="W380" s="15" t="str">
        <f aca="true">IF(G380="","",IF(OR(G380="Novo contato",G380="Em conversa"),IF(J380="",TODAY(),J380+1),IF(G380="Avaliação marcada",IF(L380="",TODAY(),L380-1),IF(G380="Proposta enviada",IF(J380="",TODAY(),J380+2),IF(G380="Fechou pacote",IF(J380="",TODAY(),J380+7),IF(G380="Em tratamento",IF(M380="",TODAY(),IF(TODAY()&lt;=M380+1,M380+1,EDATE(M380,6)-30)),IF(G380="Pós-venda",IF(J380="",TODAY(),J380+7),IF(G380="Perdido",IF(J380="",TODAY(),J380+60),""))))))))</f>
        <v/>
      </c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3" t="str">
        <f aca="false">IF(OR(E381="",E381="A completar",E381="Ainda não sabe"),"",IF(OR(E381="Limpeza de pele",E381="Peeling de diamante",E381="Microagulhamento"),"Rosto","Corpo"))</f>
        <v/>
      </c>
      <c r="G381" s="12"/>
      <c r="H381" s="12"/>
      <c r="I381" s="12"/>
      <c r="J381" s="14"/>
      <c r="K381" s="12"/>
      <c r="L381" s="14"/>
      <c r="M381" s="14"/>
      <c r="N381" s="12"/>
      <c r="O381" s="12"/>
      <c r="P381" s="15" t="str">
        <f aca="false">IF(M381="","",EDATE(M381,6))</f>
        <v/>
      </c>
      <c r="Q381" s="15" t="str">
        <f aca="false">IF(W381="","",IF(WEEKDAY(W381)=1,W381+1,W381))</f>
        <v/>
      </c>
      <c r="R381" s="13" t="str">
        <f aca="true">IF(Q381="","",IF(AND(N(K381)&gt;=3,G381&lt;&gt;"Perdido"),"Mover para Perdido",IF(Q381&lt;TODAY(),"Atrasado",IF(Q381=TODAY(),"Hoje","No prazo"))))</f>
        <v/>
      </c>
      <c r="S381" s="12"/>
      <c r="T381" s="12"/>
      <c r="U381" s="12"/>
      <c r="V381" s="7"/>
      <c r="W381" s="15" t="str">
        <f aca="true">IF(G381="","",IF(OR(G381="Novo contato",G381="Em conversa"),IF(J381="",TODAY(),J381+1),IF(G381="Avaliação marcada",IF(L381="",TODAY(),L381-1),IF(G381="Proposta enviada",IF(J381="",TODAY(),J381+2),IF(G381="Fechou pacote",IF(J381="",TODAY(),J381+7),IF(G381="Em tratamento",IF(M381="",TODAY(),IF(TODAY()&lt;=M381+1,M381+1,EDATE(M381,6)-30)),IF(G381="Pós-venda",IF(J381="",TODAY(),J381+7),IF(G381="Perdido",IF(J381="",TODAY(),J381+60),""))))))))</f>
        <v/>
      </c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3" t="str">
        <f aca="false">IF(OR(E382="",E382="A completar",E382="Ainda não sabe"),"",IF(OR(E382="Limpeza de pele",E382="Peeling de diamante",E382="Microagulhamento"),"Rosto","Corpo"))</f>
        <v/>
      </c>
      <c r="G382" s="12"/>
      <c r="H382" s="12"/>
      <c r="I382" s="12"/>
      <c r="J382" s="14"/>
      <c r="K382" s="12"/>
      <c r="L382" s="14"/>
      <c r="M382" s="14"/>
      <c r="N382" s="12"/>
      <c r="O382" s="12"/>
      <c r="P382" s="15" t="str">
        <f aca="false">IF(M382="","",EDATE(M382,6))</f>
        <v/>
      </c>
      <c r="Q382" s="15" t="str">
        <f aca="false">IF(W382="","",IF(WEEKDAY(W382)=1,W382+1,W382))</f>
        <v/>
      </c>
      <c r="R382" s="13" t="str">
        <f aca="true">IF(Q382="","",IF(AND(N(K382)&gt;=3,G382&lt;&gt;"Perdido"),"Mover para Perdido",IF(Q382&lt;TODAY(),"Atrasado",IF(Q382=TODAY(),"Hoje","No prazo"))))</f>
        <v/>
      </c>
      <c r="S382" s="12"/>
      <c r="T382" s="12"/>
      <c r="U382" s="12"/>
      <c r="V382" s="7"/>
      <c r="W382" s="15" t="str">
        <f aca="true">IF(G382="","",IF(OR(G382="Novo contato",G382="Em conversa"),IF(J382="",TODAY(),J382+1),IF(G382="Avaliação marcada",IF(L382="",TODAY(),L382-1),IF(G382="Proposta enviada",IF(J382="",TODAY(),J382+2),IF(G382="Fechou pacote",IF(J382="",TODAY(),J382+7),IF(G382="Em tratamento",IF(M382="",TODAY(),IF(TODAY()&lt;=M382+1,M382+1,EDATE(M382,6)-30)),IF(G382="Pós-venda",IF(J382="",TODAY(),J382+7),IF(G382="Perdido",IF(J382="",TODAY(),J382+60),""))))))))</f>
        <v/>
      </c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3" t="str">
        <f aca="false">IF(OR(E383="",E383="A completar",E383="Ainda não sabe"),"",IF(OR(E383="Limpeza de pele",E383="Peeling de diamante",E383="Microagulhamento"),"Rosto","Corpo"))</f>
        <v/>
      </c>
      <c r="G383" s="12"/>
      <c r="H383" s="12"/>
      <c r="I383" s="12"/>
      <c r="J383" s="14"/>
      <c r="K383" s="12"/>
      <c r="L383" s="14"/>
      <c r="M383" s="14"/>
      <c r="N383" s="12"/>
      <c r="O383" s="12"/>
      <c r="P383" s="15" t="str">
        <f aca="false">IF(M383="","",EDATE(M383,6))</f>
        <v/>
      </c>
      <c r="Q383" s="15" t="str">
        <f aca="false">IF(W383="","",IF(WEEKDAY(W383)=1,W383+1,W383))</f>
        <v/>
      </c>
      <c r="R383" s="13" t="str">
        <f aca="true">IF(Q383="","",IF(AND(N(K383)&gt;=3,G383&lt;&gt;"Perdido"),"Mover para Perdido",IF(Q383&lt;TODAY(),"Atrasado",IF(Q383=TODAY(),"Hoje","No prazo"))))</f>
        <v/>
      </c>
      <c r="S383" s="12"/>
      <c r="T383" s="12"/>
      <c r="U383" s="12"/>
      <c r="V383" s="7"/>
      <c r="W383" s="15" t="str">
        <f aca="true">IF(G383="","",IF(OR(G383="Novo contato",G383="Em conversa"),IF(J383="",TODAY(),J383+1),IF(G383="Avaliação marcada",IF(L383="",TODAY(),L383-1),IF(G383="Proposta enviada",IF(J383="",TODAY(),J383+2),IF(G383="Fechou pacote",IF(J383="",TODAY(),J383+7),IF(G383="Em tratamento",IF(M383="",TODAY(),IF(TODAY()&lt;=M383+1,M383+1,EDATE(M383,6)-30)),IF(G383="Pós-venda",IF(J383="",TODAY(),J383+7),IF(G383="Perdido",IF(J383="",TODAY(),J383+60),""))))))))</f>
        <v/>
      </c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3" t="str">
        <f aca="false">IF(OR(E384="",E384="A completar",E384="Ainda não sabe"),"",IF(OR(E384="Limpeza de pele",E384="Peeling de diamante",E384="Microagulhamento"),"Rosto","Corpo"))</f>
        <v/>
      </c>
      <c r="G384" s="12"/>
      <c r="H384" s="12"/>
      <c r="I384" s="12"/>
      <c r="J384" s="14"/>
      <c r="K384" s="12"/>
      <c r="L384" s="14"/>
      <c r="M384" s="14"/>
      <c r="N384" s="12"/>
      <c r="O384" s="12"/>
      <c r="P384" s="15" t="str">
        <f aca="false">IF(M384="","",EDATE(M384,6))</f>
        <v/>
      </c>
      <c r="Q384" s="15" t="str">
        <f aca="false">IF(W384="","",IF(WEEKDAY(W384)=1,W384+1,W384))</f>
        <v/>
      </c>
      <c r="R384" s="13" t="str">
        <f aca="true">IF(Q384="","",IF(AND(N(K384)&gt;=3,G384&lt;&gt;"Perdido"),"Mover para Perdido",IF(Q384&lt;TODAY(),"Atrasado",IF(Q384=TODAY(),"Hoje","No prazo"))))</f>
        <v/>
      </c>
      <c r="S384" s="12"/>
      <c r="T384" s="12"/>
      <c r="U384" s="12"/>
      <c r="V384" s="7"/>
      <c r="W384" s="15" t="str">
        <f aca="true">IF(G384="","",IF(OR(G384="Novo contato",G384="Em conversa"),IF(J384="",TODAY(),J384+1),IF(G384="Avaliação marcada",IF(L384="",TODAY(),L384-1),IF(G384="Proposta enviada",IF(J384="",TODAY(),J384+2),IF(G384="Fechou pacote",IF(J384="",TODAY(),J384+7),IF(G384="Em tratamento",IF(M384="",TODAY(),IF(TODAY()&lt;=M384+1,M384+1,EDATE(M384,6)-30)),IF(G384="Pós-venda",IF(J384="",TODAY(),J384+7),IF(G384="Perdido",IF(J384="",TODAY(),J384+60),""))))))))</f>
        <v/>
      </c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3" t="str">
        <f aca="false">IF(OR(E385="",E385="A completar",E385="Ainda não sabe"),"",IF(OR(E385="Limpeza de pele",E385="Peeling de diamante",E385="Microagulhamento"),"Rosto","Corpo"))</f>
        <v/>
      </c>
      <c r="G385" s="12"/>
      <c r="H385" s="12"/>
      <c r="I385" s="12"/>
      <c r="J385" s="14"/>
      <c r="K385" s="12"/>
      <c r="L385" s="14"/>
      <c r="M385" s="14"/>
      <c r="N385" s="12"/>
      <c r="O385" s="12"/>
      <c r="P385" s="15" t="str">
        <f aca="false">IF(M385="","",EDATE(M385,6))</f>
        <v/>
      </c>
      <c r="Q385" s="15" t="str">
        <f aca="false">IF(W385="","",IF(WEEKDAY(W385)=1,W385+1,W385))</f>
        <v/>
      </c>
      <c r="R385" s="13" t="str">
        <f aca="true">IF(Q385="","",IF(AND(N(K385)&gt;=3,G385&lt;&gt;"Perdido"),"Mover para Perdido",IF(Q385&lt;TODAY(),"Atrasado",IF(Q385=TODAY(),"Hoje","No prazo"))))</f>
        <v/>
      </c>
      <c r="S385" s="12"/>
      <c r="T385" s="12"/>
      <c r="U385" s="12"/>
      <c r="V385" s="7"/>
      <c r="W385" s="15" t="str">
        <f aca="true">IF(G385="","",IF(OR(G385="Novo contato",G385="Em conversa"),IF(J385="",TODAY(),J385+1),IF(G385="Avaliação marcada",IF(L385="",TODAY(),L385-1),IF(G385="Proposta enviada",IF(J385="",TODAY(),J385+2),IF(G385="Fechou pacote",IF(J385="",TODAY(),J385+7),IF(G385="Em tratamento",IF(M385="",TODAY(),IF(TODAY()&lt;=M385+1,M385+1,EDATE(M385,6)-30)),IF(G385="Pós-venda",IF(J385="",TODAY(),J385+7),IF(G385="Perdido",IF(J385="",TODAY(),J385+60),""))))))))</f>
        <v/>
      </c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3" t="str">
        <f aca="false">IF(OR(E386="",E386="A completar",E386="Ainda não sabe"),"",IF(OR(E386="Limpeza de pele",E386="Peeling de diamante",E386="Microagulhamento"),"Rosto","Corpo"))</f>
        <v/>
      </c>
      <c r="G386" s="12"/>
      <c r="H386" s="12"/>
      <c r="I386" s="12"/>
      <c r="J386" s="14"/>
      <c r="K386" s="12"/>
      <c r="L386" s="14"/>
      <c r="M386" s="14"/>
      <c r="N386" s="12"/>
      <c r="O386" s="12"/>
      <c r="P386" s="15" t="str">
        <f aca="false">IF(M386="","",EDATE(M386,6))</f>
        <v/>
      </c>
      <c r="Q386" s="15" t="str">
        <f aca="false">IF(W386="","",IF(WEEKDAY(W386)=1,W386+1,W386))</f>
        <v/>
      </c>
      <c r="R386" s="13" t="str">
        <f aca="true">IF(Q386="","",IF(AND(N(K386)&gt;=3,G386&lt;&gt;"Perdido"),"Mover para Perdido",IF(Q386&lt;TODAY(),"Atrasado",IF(Q386=TODAY(),"Hoje","No prazo"))))</f>
        <v/>
      </c>
      <c r="S386" s="12"/>
      <c r="T386" s="12"/>
      <c r="U386" s="12"/>
      <c r="V386" s="7"/>
      <c r="W386" s="15" t="str">
        <f aca="true">IF(G386="","",IF(OR(G386="Novo contato",G386="Em conversa"),IF(J386="",TODAY(),J386+1),IF(G386="Avaliação marcada",IF(L386="",TODAY(),L386-1),IF(G386="Proposta enviada",IF(J386="",TODAY(),J386+2),IF(G386="Fechou pacote",IF(J386="",TODAY(),J386+7),IF(G386="Em tratamento",IF(M386="",TODAY(),IF(TODAY()&lt;=M386+1,M386+1,EDATE(M386,6)-30)),IF(G386="Pós-venda",IF(J386="",TODAY(),J386+7),IF(G386="Perdido",IF(J386="",TODAY(),J386+60),""))))))))</f>
        <v/>
      </c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3" t="str">
        <f aca="false">IF(OR(E387="",E387="A completar",E387="Ainda não sabe"),"",IF(OR(E387="Limpeza de pele",E387="Peeling de diamante",E387="Microagulhamento"),"Rosto","Corpo"))</f>
        <v/>
      </c>
      <c r="G387" s="12"/>
      <c r="H387" s="12"/>
      <c r="I387" s="12"/>
      <c r="J387" s="14"/>
      <c r="K387" s="12"/>
      <c r="L387" s="14"/>
      <c r="M387" s="14"/>
      <c r="N387" s="12"/>
      <c r="O387" s="12"/>
      <c r="P387" s="15" t="str">
        <f aca="false">IF(M387="","",EDATE(M387,6))</f>
        <v/>
      </c>
      <c r="Q387" s="15" t="str">
        <f aca="false">IF(W387="","",IF(WEEKDAY(W387)=1,W387+1,W387))</f>
        <v/>
      </c>
      <c r="R387" s="13" t="str">
        <f aca="true">IF(Q387="","",IF(AND(N(K387)&gt;=3,G387&lt;&gt;"Perdido"),"Mover para Perdido",IF(Q387&lt;TODAY(),"Atrasado",IF(Q387=TODAY(),"Hoje","No prazo"))))</f>
        <v/>
      </c>
      <c r="S387" s="12"/>
      <c r="T387" s="12"/>
      <c r="U387" s="12"/>
      <c r="V387" s="7"/>
      <c r="W387" s="15" t="str">
        <f aca="true">IF(G387="","",IF(OR(G387="Novo contato",G387="Em conversa"),IF(J387="",TODAY(),J387+1),IF(G387="Avaliação marcada",IF(L387="",TODAY(),L387-1),IF(G387="Proposta enviada",IF(J387="",TODAY(),J387+2),IF(G387="Fechou pacote",IF(J387="",TODAY(),J387+7),IF(G387="Em tratamento",IF(M387="",TODAY(),IF(TODAY()&lt;=M387+1,M387+1,EDATE(M387,6)-30)),IF(G387="Pós-venda",IF(J387="",TODAY(),J387+7),IF(G387="Perdido",IF(J387="",TODAY(),J387+60),""))))))))</f>
        <v/>
      </c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3" t="str">
        <f aca="false">IF(OR(E388="",E388="A completar",E388="Ainda não sabe"),"",IF(OR(E388="Limpeza de pele",E388="Peeling de diamante",E388="Microagulhamento"),"Rosto","Corpo"))</f>
        <v/>
      </c>
      <c r="G388" s="12"/>
      <c r="H388" s="12"/>
      <c r="I388" s="12"/>
      <c r="J388" s="14"/>
      <c r="K388" s="12"/>
      <c r="L388" s="14"/>
      <c r="M388" s="14"/>
      <c r="N388" s="12"/>
      <c r="O388" s="12"/>
      <c r="P388" s="15" t="str">
        <f aca="false">IF(M388="","",EDATE(M388,6))</f>
        <v/>
      </c>
      <c r="Q388" s="15" t="str">
        <f aca="false">IF(W388="","",IF(WEEKDAY(W388)=1,W388+1,W388))</f>
        <v/>
      </c>
      <c r="R388" s="13" t="str">
        <f aca="true">IF(Q388="","",IF(AND(N(K388)&gt;=3,G388&lt;&gt;"Perdido"),"Mover para Perdido",IF(Q388&lt;TODAY(),"Atrasado",IF(Q388=TODAY(),"Hoje","No prazo"))))</f>
        <v/>
      </c>
      <c r="S388" s="12"/>
      <c r="T388" s="12"/>
      <c r="U388" s="12"/>
      <c r="V388" s="7"/>
      <c r="W388" s="15" t="str">
        <f aca="true">IF(G388="","",IF(OR(G388="Novo contato",G388="Em conversa"),IF(J388="",TODAY(),J388+1),IF(G388="Avaliação marcada",IF(L388="",TODAY(),L388-1),IF(G388="Proposta enviada",IF(J388="",TODAY(),J388+2),IF(G388="Fechou pacote",IF(J388="",TODAY(),J388+7),IF(G388="Em tratamento",IF(M388="",TODAY(),IF(TODAY()&lt;=M388+1,M388+1,EDATE(M388,6)-30)),IF(G388="Pós-venda",IF(J388="",TODAY(),J388+7),IF(G388="Perdido",IF(J388="",TODAY(),J388+60),""))))))))</f>
        <v/>
      </c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3" t="str">
        <f aca="false">IF(OR(E389="",E389="A completar",E389="Ainda não sabe"),"",IF(OR(E389="Limpeza de pele",E389="Peeling de diamante",E389="Microagulhamento"),"Rosto","Corpo"))</f>
        <v/>
      </c>
      <c r="G389" s="12"/>
      <c r="H389" s="12"/>
      <c r="I389" s="12"/>
      <c r="J389" s="14"/>
      <c r="K389" s="12"/>
      <c r="L389" s="14"/>
      <c r="M389" s="14"/>
      <c r="N389" s="12"/>
      <c r="O389" s="12"/>
      <c r="P389" s="15" t="str">
        <f aca="false">IF(M389="","",EDATE(M389,6))</f>
        <v/>
      </c>
      <c r="Q389" s="15" t="str">
        <f aca="false">IF(W389="","",IF(WEEKDAY(W389)=1,W389+1,W389))</f>
        <v/>
      </c>
      <c r="R389" s="13" t="str">
        <f aca="true">IF(Q389="","",IF(AND(N(K389)&gt;=3,G389&lt;&gt;"Perdido"),"Mover para Perdido",IF(Q389&lt;TODAY(),"Atrasado",IF(Q389=TODAY(),"Hoje","No prazo"))))</f>
        <v/>
      </c>
      <c r="S389" s="12"/>
      <c r="T389" s="12"/>
      <c r="U389" s="12"/>
      <c r="V389" s="7"/>
      <c r="W389" s="15" t="str">
        <f aca="true">IF(G389="","",IF(OR(G389="Novo contato",G389="Em conversa"),IF(J389="",TODAY(),J389+1),IF(G389="Avaliação marcada",IF(L389="",TODAY(),L389-1),IF(G389="Proposta enviada",IF(J389="",TODAY(),J389+2),IF(G389="Fechou pacote",IF(J389="",TODAY(),J389+7),IF(G389="Em tratamento",IF(M389="",TODAY(),IF(TODAY()&lt;=M389+1,M389+1,EDATE(M389,6)-30)),IF(G389="Pós-venda",IF(J389="",TODAY(),J389+7),IF(G389="Perdido",IF(J389="",TODAY(),J389+60),""))))))))</f>
        <v/>
      </c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3" t="str">
        <f aca="false">IF(OR(E390="",E390="A completar",E390="Ainda não sabe"),"",IF(OR(E390="Limpeza de pele",E390="Peeling de diamante",E390="Microagulhamento"),"Rosto","Corpo"))</f>
        <v/>
      </c>
      <c r="G390" s="12"/>
      <c r="H390" s="12"/>
      <c r="I390" s="12"/>
      <c r="J390" s="14"/>
      <c r="K390" s="12"/>
      <c r="L390" s="14"/>
      <c r="M390" s="14"/>
      <c r="N390" s="12"/>
      <c r="O390" s="12"/>
      <c r="P390" s="15" t="str">
        <f aca="false">IF(M390="","",EDATE(M390,6))</f>
        <v/>
      </c>
      <c r="Q390" s="15" t="str">
        <f aca="false">IF(W390="","",IF(WEEKDAY(W390)=1,W390+1,W390))</f>
        <v/>
      </c>
      <c r="R390" s="13" t="str">
        <f aca="true">IF(Q390="","",IF(AND(N(K390)&gt;=3,G390&lt;&gt;"Perdido"),"Mover para Perdido",IF(Q390&lt;TODAY(),"Atrasado",IF(Q390=TODAY(),"Hoje","No prazo"))))</f>
        <v/>
      </c>
      <c r="S390" s="12"/>
      <c r="T390" s="12"/>
      <c r="U390" s="12"/>
      <c r="V390" s="7"/>
      <c r="W390" s="15" t="str">
        <f aca="true">IF(G390="","",IF(OR(G390="Novo contato",G390="Em conversa"),IF(J390="",TODAY(),J390+1),IF(G390="Avaliação marcada",IF(L390="",TODAY(),L390-1),IF(G390="Proposta enviada",IF(J390="",TODAY(),J390+2),IF(G390="Fechou pacote",IF(J390="",TODAY(),J390+7),IF(G390="Em tratamento",IF(M390="",TODAY(),IF(TODAY()&lt;=M390+1,M390+1,EDATE(M390,6)-30)),IF(G390="Pós-venda",IF(J390="",TODAY(),J390+7),IF(G390="Perdido",IF(J390="",TODAY(),J390+60),""))))))))</f>
        <v/>
      </c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3" t="str">
        <f aca="false">IF(OR(E391="",E391="A completar",E391="Ainda não sabe"),"",IF(OR(E391="Limpeza de pele",E391="Peeling de diamante",E391="Microagulhamento"),"Rosto","Corpo"))</f>
        <v/>
      </c>
      <c r="G391" s="12"/>
      <c r="H391" s="12"/>
      <c r="I391" s="12"/>
      <c r="J391" s="14"/>
      <c r="K391" s="12"/>
      <c r="L391" s="14"/>
      <c r="M391" s="14"/>
      <c r="N391" s="12"/>
      <c r="O391" s="12"/>
      <c r="P391" s="15" t="str">
        <f aca="false">IF(M391="","",EDATE(M391,6))</f>
        <v/>
      </c>
      <c r="Q391" s="15" t="str">
        <f aca="false">IF(W391="","",IF(WEEKDAY(W391)=1,W391+1,W391))</f>
        <v/>
      </c>
      <c r="R391" s="13" t="str">
        <f aca="true">IF(Q391="","",IF(AND(N(K391)&gt;=3,G391&lt;&gt;"Perdido"),"Mover para Perdido",IF(Q391&lt;TODAY(),"Atrasado",IF(Q391=TODAY(),"Hoje","No prazo"))))</f>
        <v/>
      </c>
      <c r="S391" s="12"/>
      <c r="T391" s="12"/>
      <c r="U391" s="12"/>
      <c r="V391" s="7"/>
      <c r="W391" s="15" t="str">
        <f aca="true">IF(G391="","",IF(OR(G391="Novo contato",G391="Em conversa"),IF(J391="",TODAY(),J391+1),IF(G391="Avaliação marcada",IF(L391="",TODAY(),L391-1),IF(G391="Proposta enviada",IF(J391="",TODAY(),J391+2),IF(G391="Fechou pacote",IF(J391="",TODAY(),J391+7),IF(G391="Em tratamento",IF(M391="",TODAY(),IF(TODAY()&lt;=M391+1,M391+1,EDATE(M391,6)-30)),IF(G391="Pós-venda",IF(J391="",TODAY(),J391+7),IF(G391="Perdido",IF(J391="",TODAY(),J391+60),""))))))))</f>
        <v/>
      </c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3" t="str">
        <f aca="false">IF(OR(E392="",E392="A completar",E392="Ainda não sabe"),"",IF(OR(E392="Limpeza de pele",E392="Peeling de diamante",E392="Microagulhamento"),"Rosto","Corpo"))</f>
        <v/>
      </c>
      <c r="G392" s="12"/>
      <c r="H392" s="12"/>
      <c r="I392" s="12"/>
      <c r="J392" s="14"/>
      <c r="K392" s="12"/>
      <c r="L392" s="14"/>
      <c r="M392" s="14"/>
      <c r="N392" s="12"/>
      <c r="O392" s="12"/>
      <c r="P392" s="15" t="str">
        <f aca="false">IF(M392="","",EDATE(M392,6))</f>
        <v/>
      </c>
      <c r="Q392" s="15" t="str">
        <f aca="false">IF(W392="","",IF(WEEKDAY(W392)=1,W392+1,W392))</f>
        <v/>
      </c>
      <c r="R392" s="13" t="str">
        <f aca="true">IF(Q392="","",IF(AND(N(K392)&gt;=3,G392&lt;&gt;"Perdido"),"Mover para Perdido",IF(Q392&lt;TODAY(),"Atrasado",IF(Q392=TODAY(),"Hoje","No prazo"))))</f>
        <v/>
      </c>
      <c r="S392" s="12"/>
      <c r="T392" s="12"/>
      <c r="U392" s="12"/>
      <c r="V392" s="7"/>
      <c r="W392" s="15" t="str">
        <f aca="true">IF(G392="","",IF(OR(G392="Novo contato",G392="Em conversa"),IF(J392="",TODAY(),J392+1),IF(G392="Avaliação marcada",IF(L392="",TODAY(),L392-1),IF(G392="Proposta enviada",IF(J392="",TODAY(),J392+2),IF(G392="Fechou pacote",IF(J392="",TODAY(),J392+7),IF(G392="Em tratamento",IF(M392="",TODAY(),IF(TODAY()&lt;=M392+1,M392+1,EDATE(M392,6)-30)),IF(G392="Pós-venda",IF(J392="",TODAY(),J392+7),IF(G392="Perdido",IF(J392="",TODAY(),J392+60),""))))))))</f>
        <v/>
      </c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3" t="str">
        <f aca="false">IF(OR(E393="",E393="A completar",E393="Ainda não sabe"),"",IF(OR(E393="Limpeza de pele",E393="Peeling de diamante",E393="Microagulhamento"),"Rosto","Corpo"))</f>
        <v/>
      </c>
      <c r="G393" s="12"/>
      <c r="H393" s="12"/>
      <c r="I393" s="12"/>
      <c r="J393" s="14"/>
      <c r="K393" s="12"/>
      <c r="L393" s="14"/>
      <c r="M393" s="14"/>
      <c r="N393" s="12"/>
      <c r="O393" s="12"/>
      <c r="P393" s="15" t="str">
        <f aca="false">IF(M393="","",EDATE(M393,6))</f>
        <v/>
      </c>
      <c r="Q393" s="15" t="str">
        <f aca="false">IF(W393="","",IF(WEEKDAY(W393)=1,W393+1,W393))</f>
        <v/>
      </c>
      <c r="R393" s="13" t="str">
        <f aca="true">IF(Q393="","",IF(AND(N(K393)&gt;=3,G393&lt;&gt;"Perdido"),"Mover para Perdido",IF(Q393&lt;TODAY(),"Atrasado",IF(Q393=TODAY(),"Hoje","No prazo"))))</f>
        <v/>
      </c>
      <c r="S393" s="12"/>
      <c r="T393" s="12"/>
      <c r="U393" s="12"/>
      <c r="V393" s="7"/>
      <c r="W393" s="15" t="str">
        <f aca="true">IF(G393="","",IF(OR(G393="Novo contato",G393="Em conversa"),IF(J393="",TODAY(),J393+1),IF(G393="Avaliação marcada",IF(L393="",TODAY(),L393-1),IF(G393="Proposta enviada",IF(J393="",TODAY(),J393+2),IF(G393="Fechou pacote",IF(J393="",TODAY(),J393+7),IF(G393="Em tratamento",IF(M393="",TODAY(),IF(TODAY()&lt;=M393+1,M393+1,EDATE(M393,6)-30)),IF(G393="Pós-venda",IF(J393="",TODAY(),J393+7),IF(G393="Perdido",IF(J393="",TODAY(),J393+60),""))))))))</f>
        <v/>
      </c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3" t="str">
        <f aca="false">IF(OR(E394="",E394="A completar",E394="Ainda não sabe"),"",IF(OR(E394="Limpeza de pele",E394="Peeling de diamante",E394="Microagulhamento"),"Rosto","Corpo"))</f>
        <v/>
      </c>
      <c r="G394" s="12"/>
      <c r="H394" s="12"/>
      <c r="I394" s="12"/>
      <c r="J394" s="14"/>
      <c r="K394" s="12"/>
      <c r="L394" s="14"/>
      <c r="M394" s="14"/>
      <c r="N394" s="12"/>
      <c r="O394" s="12"/>
      <c r="P394" s="15" t="str">
        <f aca="false">IF(M394="","",EDATE(M394,6))</f>
        <v/>
      </c>
      <c r="Q394" s="15" t="str">
        <f aca="false">IF(W394="","",IF(WEEKDAY(W394)=1,W394+1,W394))</f>
        <v/>
      </c>
      <c r="R394" s="13" t="str">
        <f aca="true">IF(Q394="","",IF(AND(N(K394)&gt;=3,G394&lt;&gt;"Perdido"),"Mover para Perdido",IF(Q394&lt;TODAY(),"Atrasado",IF(Q394=TODAY(),"Hoje","No prazo"))))</f>
        <v/>
      </c>
      <c r="S394" s="12"/>
      <c r="T394" s="12"/>
      <c r="U394" s="12"/>
      <c r="V394" s="7"/>
      <c r="W394" s="15" t="str">
        <f aca="true">IF(G394="","",IF(OR(G394="Novo contato",G394="Em conversa"),IF(J394="",TODAY(),J394+1),IF(G394="Avaliação marcada",IF(L394="",TODAY(),L394-1),IF(G394="Proposta enviada",IF(J394="",TODAY(),J394+2),IF(G394="Fechou pacote",IF(J394="",TODAY(),J394+7),IF(G394="Em tratamento",IF(M394="",TODAY(),IF(TODAY()&lt;=M394+1,M394+1,EDATE(M394,6)-30)),IF(G394="Pós-venda",IF(J394="",TODAY(),J394+7),IF(G394="Perdido",IF(J394="",TODAY(),J394+60),""))))))))</f>
        <v/>
      </c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3" t="str">
        <f aca="false">IF(OR(E395="",E395="A completar",E395="Ainda não sabe"),"",IF(OR(E395="Limpeza de pele",E395="Peeling de diamante",E395="Microagulhamento"),"Rosto","Corpo"))</f>
        <v/>
      </c>
      <c r="G395" s="12"/>
      <c r="H395" s="12"/>
      <c r="I395" s="12"/>
      <c r="J395" s="14"/>
      <c r="K395" s="12"/>
      <c r="L395" s="14"/>
      <c r="M395" s="14"/>
      <c r="N395" s="12"/>
      <c r="O395" s="12"/>
      <c r="P395" s="15" t="str">
        <f aca="false">IF(M395="","",EDATE(M395,6))</f>
        <v/>
      </c>
      <c r="Q395" s="15" t="str">
        <f aca="false">IF(W395="","",IF(WEEKDAY(W395)=1,W395+1,W395))</f>
        <v/>
      </c>
      <c r="R395" s="13" t="str">
        <f aca="true">IF(Q395="","",IF(AND(N(K395)&gt;=3,G395&lt;&gt;"Perdido"),"Mover para Perdido",IF(Q395&lt;TODAY(),"Atrasado",IF(Q395=TODAY(),"Hoje","No prazo"))))</f>
        <v/>
      </c>
      <c r="S395" s="12"/>
      <c r="T395" s="12"/>
      <c r="U395" s="12"/>
      <c r="V395" s="7"/>
      <c r="W395" s="15" t="str">
        <f aca="true">IF(G395="","",IF(OR(G395="Novo contato",G395="Em conversa"),IF(J395="",TODAY(),J395+1),IF(G395="Avaliação marcada",IF(L395="",TODAY(),L395-1),IF(G395="Proposta enviada",IF(J395="",TODAY(),J395+2),IF(G395="Fechou pacote",IF(J395="",TODAY(),J395+7),IF(G395="Em tratamento",IF(M395="",TODAY(),IF(TODAY()&lt;=M395+1,M395+1,EDATE(M395,6)-30)),IF(G395="Pós-venda",IF(J395="",TODAY(),J395+7),IF(G395="Perdido",IF(J395="",TODAY(),J395+60),""))))))))</f>
        <v/>
      </c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3" t="str">
        <f aca="false">IF(OR(E396="",E396="A completar",E396="Ainda não sabe"),"",IF(OR(E396="Limpeza de pele",E396="Peeling de diamante",E396="Microagulhamento"),"Rosto","Corpo"))</f>
        <v/>
      </c>
      <c r="G396" s="12"/>
      <c r="H396" s="12"/>
      <c r="I396" s="12"/>
      <c r="J396" s="14"/>
      <c r="K396" s="12"/>
      <c r="L396" s="14"/>
      <c r="M396" s="14"/>
      <c r="N396" s="12"/>
      <c r="O396" s="12"/>
      <c r="P396" s="15" t="str">
        <f aca="false">IF(M396="","",EDATE(M396,6))</f>
        <v/>
      </c>
      <c r="Q396" s="15" t="str">
        <f aca="false">IF(W396="","",IF(WEEKDAY(W396)=1,W396+1,W396))</f>
        <v/>
      </c>
      <c r="R396" s="13" t="str">
        <f aca="true">IF(Q396="","",IF(AND(N(K396)&gt;=3,G396&lt;&gt;"Perdido"),"Mover para Perdido",IF(Q396&lt;TODAY(),"Atrasado",IF(Q396=TODAY(),"Hoje","No prazo"))))</f>
        <v/>
      </c>
      <c r="S396" s="12"/>
      <c r="T396" s="12"/>
      <c r="U396" s="12"/>
      <c r="V396" s="7"/>
      <c r="W396" s="15" t="str">
        <f aca="true">IF(G396="","",IF(OR(G396="Novo contato",G396="Em conversa"),IF(J396="",TODAY(),J396+1),IF(G396="Avaliação marcada",IF(L396="",TODAY(),L396-1),IF(G396="Proposta enviada",IF(J396="",TODAY(),J396+2),IF(G396="Fechou pacote",IF(J396="",TODAY(),J396+7),IF(G396="Em tratamento",IF(M396="",TODAY(),IF(TODAY()&lt;=M396+1,M396+1,EDATE(M396,6)-30)),IF(G396="Pós-venda",IF(J396="",TODAY(),J396+7),IF(G396="Perdido",IF(J396="",TODAY(),J396+60),""))))))))</f>
        <v/>
      </c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3" t="str">
        <f aca="false">IF(OR(E397="",E397="A completar",E397="Ainda não sabe"),"",IF(OR(E397="Limpeza de pele",E397="Peeling de diamante",E397="Microagulhamento"),"Rosto","Corpo"))</f>
        <v/>
      </c>
      <c r="G397" s="12"/>
      <c r="H397" s="12"/>
      <c r="I397" s="12"/>
      <c r="J397" s="14"/>
      <c r="K397" s="12"/>
      <c r="L397" s="14"/>
      <c r="M397" s="14"/>
      <c r="N397" s="12"/>
      <c r="O397" s="12"/>
      <c r="P397" s="15" t="str">
        <f aca="false">IF(M397="","",EDATE(M397,6))</f>
        <v/>
      </c>
      <c r="Q397" s="15" t="str">
        <f aca="false">IF(W397="","",IF(WEEKDAY(W397)=1,W397+1,W397))</f>
        <v/>
      </c>
      <c r="R397" s="13" t="str">
        <f aca="true">IF(Q397="","",IF(AND(N(K397)&gt;=3,G397&lt;&gt;"Perdido"),"Mover para Perdido",IF(Q397&lt;TODAY(),"Atrasado",IF(Q397=TODAY(),"Hoje","No prazo"))))</f>
        <v/>
      </c>
      <c r="S397" s="12"/>
      <c r="T397" s="12"/>
      <c r="U397" s="12"/>
      <c r="V397" s="7"/>
      <c r="W397" s="15" t="str">
        <f aca="true">IF(G397="","",IF(OR(G397="Novo contato",G397="Em conversa"),IF(J397="",TODAY(),J397+1),IF(G397="Avaliação marcada",IF(L397="",TODAY(),L397-1),IF(G397="Proposta enviada",IF(J397="",TODAY(),J397+2),IF(G397="Fechou pacote",IF(J397="",TODAY(),J397+7),IF(G397="Em tratamento",IF(M397="",TODAY(),IF(TODAY()&lt;=M397+1,M397+1,EDATE(M397,6)-30)),IF(G397="Pós-venda",IF(J397="",TODAY(),J397+7),IF(G397="Perdido",IF(J397="",TODAY(),J397+60),""))))))))</f>
        <v/>
      </c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3" t="str">
        <f aca="false">IF(OR(E398="",E398="A completar",E398="Ainda não sabe"),"",IF(OR(E398="Limpeza de pele",E398="Peeling de diamante",E398="Microagulhamento"),"Rosto","Corpo"))</f>
        <v/>
      </c>
      <c r="G398" s="12"/>
      <c r="H398" s="12"/>
      <c r="I398" s="12"/>
      <c r="J398" s="14"/>
      <c r="K398" s="12"/>
      <c r="L398" s="14"/>
      <c r="M398" s="14"/>
      <c r="N398" s="12"/>
      <c r="O398" s="12"/>
      <c r="P398" s="15" t="str">
        <f aca="false">IF(M398="","",EDATE(M398,6))</f>
        <v/>
      </c>
      <c r="Q398" s="15" t="str">
        <f aca="false">IF(W398="","",IF(WEEKDAY(W398)=1,W398+1,W398))</f>
        <v/>
      </c>
      <c r="R398" s="13" t="str">
        <f aca="true">IF(Q398="","",IF(AND(N(K398)&gt;=3,G398&lt;&gt;"Perdido"),"Mover para Perdido",IF(Q398&lt;TODAY(),"Atrasado",IF(Q398=TODAY(),"Hoje","No prazo"))))</f>
        <v/>
      </c>
      <c r="S398" s="12"/>
      <c r="T398" s="12"/>
      <c r="U398" s="12"/>
      <c r="V398" s="7"/>
      <c r="W398" s="15" t="str">
        <f aca="true">IF(G398="","",IF(OR(G398="Novo contato",G398="Em conversa"),IF(J398="",TODAY(),J398+1),IF(G398="Avaliação marcada",IF(L398="",TODAY(),L398-1),IF(G398="Proposta enviada",IF(J398="",TODAY(),J398+2),IF(G398="Fechou pacote",IF(J398="",TODAY(),J398+7),IF(G398="Em tratamento",IF(M398="",TODAY(),IF(TODAY()&lt;=M398+1,M398+1,EDATE(M398,6)-30)),IF(G398="Pós-venda",IF(J398="",TODAY(),J398+7),IF(G398="Perdido",IF(J398="",TODAY(),J398+60),""))))))))</f>
        <v/>
      </c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3" t="str">
        <f aca="false">IF(OR(E399="",E399="A completar",E399="Ainda não sabe"),"",IF(OR(E399="Limpeza de pele",E399="Peeling de diamante",E399="Microagulhamento"),"Rosto","Corpo"))</f>
        <v/>
      </c>
      <c r="G399" s="12"/>
      <c r="H399" s="12"/>
      <c r="I399" s="12"/>
      <c r="J399" s="14"/>
      <c r="K399" s="12"/>
      <c r="L399" s="14"/>
      <c r="M399" s="14"/>
      <c r="N399" s="12"/>
      <c r="O399" s="12"/>
      <c r="P399" s="15" t="str">
        <f aca="false">IF(M399="","",EDATE(M399,6))</f>
        <v/>
      </c>
      <c r="Q399" s="15" t="str">
        <f aca="false">IF(W399="","",IF(WEEKDAY(W399)=1,W399+1,W399))</f>
        <v/>
      </c>
      <c r="R399" s="13" t="str">
        <f aca="true">IF(Q399="","",IF(AND(N(K399)&gt;=3,G399&lt;&gt;"Perdido"),"Mover para Perdido",IF(Q399&lt;TODAY(),"Atrasado",IF(Q399=TODAY(),"Hoje","No prazo"))))</f>
        <v/>
      </c>
      <c r="S399" s="12"/>
      <c r="T399" s="12"/>
      <c r="U399" s="12"/>
      <c r="V399" s="7"/>
      <c r="W399" s="15" t="str">
        <f aca="true">IF(G399="","",IF(OR(G399="Novo contato",G399="Em conversa"),IF(J399="",TODAY(),J399+1),IF(G399="Avaliação marcada",IF(L399="",TODAY(),L399-1),IF(G399="Proposta enviada",IF(J399="",TODAY(),J399+2),IF(G399="Fechou pacote",IF(J399="",TODAY(),J399+7),IF(G399="Em tratamento",IF(M399="",TODAY(),IF(TODAY()&lt;=M399+1,M399+1,EDATE(M399,6)-30)),IF(G399="Pós-venda",IF(J399="",TODAY(),J399+7),IF(G399="Perdido",IF(J399="",TODAY(),J399+60),""))))))))</f>
        <v/>
      </c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3" t="str">
        <f aca="false">IF(OR(E400="",E400="A completar",E400="Ainda não sabe"),"",IF(OR(E400="Limpeza de pele",E400="Peeling de diamante",E400="Microagulhamento"),"Rosto","Corpo"))</f>
        <v/>
      </c>
      <c r="G400" s="12"/>
      <c r="H400" s="12"/>
      <c r="I400" s="12"/>
      <c r="J400" s="14"/>
      <c r="K400" s="12"/>
      <c r="L400" s="14"/>
      <c r="M400" s="14"/>
      <c r="N400" s="12"/>
      <c r="O400" s="12"/>
      <c r="P400" s="15" t="str">
        <f aca="false">IF(M400="","",EDATE(M400,6))</f>
        <v/>
      </c>
      <c r="Q400" s="15" t="str">
        <f aca="false">IF(W400="","",IF(WEEKDAY(W400)=1,W400+1,W400))</f>
        <v/>
      </c>
      <c r="R400" s="13" t="str">
        <f aca="true">IF(Q400="","",IF(AND(N(K400)&gt;=3,G400&lt;&gt;"Perdido"),"Mover para Perdido",IF(Q400&lt;TODAY(),"Atrasado",IF(Q400=TODAY(),"Hoje","No prazo"))))</f>
        <v/>
      </c>
      <c r="S400" s="12"/>
      <c r="T400" s="12"/>
      <c r="U400" s="12"/>
      <c r="V400" s="7"/>
      <c r="W400" s="15" t="str">
        <f aca="true">IF(G400="","",IF(OR(G400="Novo contato",G400="Em conversa"),IF(J400="",TODAY(),J400+1),IF(G400="Avaliação marcada",IF(L400="",TODAY(),L400-1),IF(G400="Proposta enviada",IF(J400="",TODAY(),J400+2),IF(G400="Fechou pacote",IF(J400="",TODAY(),J400+7),IF(G400="Em tratamento",IF(M400="",TODAY(),IF(TODAY()&lt;=M400+1,M400+1,EDATE(M400,6)-30)),IF(G400="Pós-venda",IF(J400="",TODAY(),J400+7),IF(G400="Perdido",IF(J400="",TODAY(),J400+60),""))))))))</f>
        <v/>
      </c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13" t="str">
        <f aca="false">IF(OR(E401="",E401="A completar",E401="Ainda não sabe"),"",IF(OR(E401="Limpeza de pele",E401="Peeling de diamante",E401="Microagulhamento"),"Rosto","Corpo"))</f>
        <v/>
      </c>
      <c r="G401" s="12"/>
      <c r="H401" s="12"/>
      <c r="I401" s="12"/>
      <c r="J401" s="14"/>
      <c r="K401" s="12"/>
      <c r="L401" s="14"/>
      <c r="M401" s="14"/>
      <c r="N401" s="12"/>
      <c r="O401" s="12"/>
      <c r="P401" s="15" t="str">
        <f aca="false">IF(M401="","",EDATE(M401,6))</f>
        <v/>
      </c>
      <c r="Q401" s="15" t="str">
        <f aca="false">IF(W401="","",IF(WEEKDAY(W401)=1,W401+1,W401))</f>
        <v/>
      </c>
      <c r="R401" s="13" t="str">
        <f aca="true">IF(Q401="","",IF(AND(N(K401)&gt;=3,G401&lt;&gt;"Perdido"),"Mover para Perdido",IF(Q401&lt;TODAY(),"Atrasado",IF(Q401=TODAY(),"Hoje","No prazo"))))</f>
        <v/>
      </c>
      <c r="S401" s="12"/>
      <c r="T401" s="12"/>
      <c r="U401" s="12"/>
      <c r="V401" s="7"/>
      <c r="W401" s="15" t="str">
        <f aca="true">IF(G401="","",IF(OR(G401="Novo contato",G401="Em conversa"),IF(J401="",TODAY(),J401+1),IF(G401="Avaliação marcada",IF(L401="",TODAY(),L401-1),IF(G401="Proposta enviada",IF(J401="",TODAY(),J401+2),IF(G401="Fechou pacote",IF(J401="",TODAY(),J401+7),IF(G401="Em tratamento",IF(M401="",TODAY(),IF(TODAY()&lt;=M401+1,M401+1,EDATE(M401,6)-30)),IF(G401="Pós-venda",IF(J401="",TODAY(),J401+7),IF(G401="Perdido",IF(J401="",TODAY(),J401+60),""))))))))</f>
        <v/>
      </c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13" t="str">
        <f aca="false">IF(OR(E402="",E402="A completar",E402="Ainda não sabe"),"",IF(OR(E402="Limpeza de pele",E402="Peeling de diamante",E402="Microagulhamento"),"Rosto","Corpo"))</f>
        <v/>
      </c>
      <c r="G402" s="12"/>
      <c r="H402" s="12"/>
      <c r="I402" s="12"/>
      <c r="J402" s="14"/>
      <c r="K402" s="12"/>
      <c r="L402" s="14"/>
      <c r="M402" s="14"/>
      <c r="N402" s="12"/>
      <c r="O402" s="12"/>
      <c r="P402" s="15" t="str">
        <f aca="false">IF(M402="","",EDATE(M402,6))</f>
        <v/>
      </c>
      <c r="Q402" s="15" t="str">
        <f aca="false">IF(W402="","",IF(WEEKDAY(W402)=1,W402+1,W402))</f>
        <v/>
      </c>
      <c r="R402" s="13" t="str">
        <f aca="true">IF(Q402="","",IF(AND(N(K402)&gt;=3,G402&lt;&gt;"Perdido"),"Mover para Perdido",IF(Q402&lt;TODAY(),"Atrasado",IF(Q402=TODAY(),"Hoje","No prazo"))))</f>
        <v/>
      </c>
      <c r="S402" s="12"/>
      <c r="T402" s="12"/>
      <c r="U402" s="12"/>
      <c r="V402" s="7"/>
      <c r="W402" s="15" t="str">
        <f aca="true">IF(G402="","",IF(OR(G402="Novo contato",G402="Em conversa"),IF(J402="",TODAY(),J402+1),IF(G402="Avaliação marcada",IF(L402="",TODAY(),L402-1),IF(G402="Proposta enviada",IF(J402="",TODAY(),J402+2),IF(G402="Fechou pacote",IF(J402="",TODAY(),J402+7),IF(G402="Em tratamento",IF(M402="",TODAY(),IF(TODAY()&lt;=M402+1,M402+1,EDATE(M402,6)-30)),IF(G402="Pós-venda",IF(J402="",TODAY(),J402+7),IF(G402="Perdido",IF(J402="",TODAY(),J402+60),""))))))))</f>
        <v/>
      </c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13" t="str">
        <f aca="false">IF(OR(E403="",E403="A completar",E403="Ainda não sabe"),"",IF(OR(E403="Limpeza de pele",E403="Peeling de diamante",E403="Microagulhamento"),"Rosto","Corpo"))</f>
        <v/>
      </c>
      <c r="G403" s="12"/>
      <c r="H403" s="12"/>
      <c r="I403" s="12"/>
      <c r="J403" s="14"/>
      <c r="K403" s="12"/>
      <c r="L403" s="14"/>
      <c r="M403" s="14"/>
      <c r="N403" s="12"/>
      <c r="O403" s="12"/>
      <c r="P403" s="15" t="str">
        <f aca="false">IF(M403="","",EDATE(M403,6))</f>
        <v/>
      </c>
      <c r="Q403" s="15" t="str">
        <f aca="false">IF(W403="","",IF(WEEKDAY(W403)=1,W403+1,W403))</f>
        <v/>
      </c>
      <c r="R403" s="13" t="str">
        <f aca="true">IF(Q403="","",IF(AND(N(K403)&gt;=3,G403&lt;&gt;"Perdido"),"Mover para Perdido",IF(Q403&lt;TODAY(),"Atrasado",IF(Q403=TODAY(),"Hoje","No prazo"))))</f>
        <v/>
      </c>
      <c r="S403" s="12"/>
      <c r="T403" s="12"/>
      <c r="U403" s="12"/>
      <c r="V403" s="7"/>
      <c r="W403" s="15" t="str">
        <f aca="true">IF(G403="","",IF(OR(G403="Novo contato",G403="Em conversa"),IF(J403="",TODAY(),J403+1),IF(G403="Avaliação marcada",IF(L403="",TODAY(),L403-1),IF(G403="Proposta enviada",IF(J403="",TODAY(),J403+2),IF(G403="Fechou pacote",IF(J403="",TODAY(),J403+7),IF(G403="Em tratamento",IF(M403="",TODAY(),IF(TODAY()&lt;=M403+1,M403+1,EDATE(M403,6)-30)),IF(G403="Pós-venda",IF(J403="",TODAY(),J403+7),IF(G403="Perdido",IF(J403="",TODAY(),J403+60),""))))))))</f>
        <v/>
      </c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13" t="str">
        <f aca="false">IF(OR(E404="",E404="A completar",E404="Ainda não sabe"),"",IF(OR(E404="Limpeza de pele",E404="Peeling de diamante",E404="Microagulhamento"),"Rosto","Corpo"))</f>
        <v/>
      </c>
      <c r="G404" s="12"/>
      <c r="H404" s="12"/>
      <c r="I404" s="12"/>
      <c r="J404" s="14"/>
      <c r="K404" s="12"/>
      <c r="L404" s="14"/>
      <c r="M404" s="14"/>
      <c r="N404" s="12"/>
      <c r="O404" s="12"/>
      <c r="P404" s="15" t="str">
        <f aca="false">IF(M404="","",EDATE(M404,6))</f>
        <v/>
      </c>
      <c r="Q404" s="15" t="str">
        <f aca="false">IF(W404="","",IF(WEEKDAY(W404)=1,W404+1,W404))</f>
        <v/>
      </c>
      <c r="R404" s="13" t="str">
        <f aca="true">IF(Q404="","",IF(AND(N(K404)&gt;=3,G404&lt;&gt;"Perdido"),"Mover para Perdido",IF(Q404&lt;TODAY(),"Atrasado",IF(Q404=TODAY(),"Hoje","No prazo"))))</f>
        <v/>
      </c>
      <c r="S404" s="12"/>
      <c r="T404" s="12"/>
      <c r="U404" s="12"/>
      <c r="V404" s="7"/>
      <c r="W404" s="15" t="str">
        <f aca="true">IF(G404="","",IF(OR(G404="Novo contato",G404="Em conversa"),IF(J404="",TODAY(),J404+1),IF(G404="Avaliação marcada",IF(L404="",TODAY(),L404-1),IF(G404="Proposta enviada",IF(J404="",TODAY(),J404+2),IF(G404="Fechou pacote",IF(J404="",TODAY(),J404+7),IF(G404="Em tratamento",IF(M404="",TODAY(),IF(TODAY()&lt;=M404+1,M404+1,EDATE(M404,6)-30)),IF(G404="Pós-venda",IF(J404="",TODAY(),J404+7),IF(G404="Perdido",IF(J404="",TODAY(),J404+60),""))))))))</f>
        <v/>
      </c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13" t="str">
        <f aca="false">IF(OR(E405="",E405="A completar",E405="Ainda não sabe"),"",IF(OR(E405="Limpeza de pele",E405="Peeling de diamante",E405="Microagulhamento"),"Rosto","Corpo"))</f>
        <v/>
      </c>
      <c r="G405" s="12"/>
      <c r="H405" s="12"/>
      <c r="I405" s="12"/>
      <c r="J405" s="14"/>
      <c r="K405" s="12"/>
      <c r="L405" s="14"/>
      <c r="M405" s="14"/>
      <c r="N405" s="12"/>
      <c r="O405" s="12"/>
      <c r="P405" s="15" t="str">
        <f aca="false">IF(M405="","",EDATE(M405,6))</f>
        <v/>
      </c>
      <c r="Q405" s="15" t="str">
        <f aca="false">IF(W405="","",IF(WEEKDAY(W405)=1,W405+1,W405))</f>
        <v/>
      </c>
      <c r="R405" s="13" t="str">
        <f aca="true">IF(Q405="","",IF(AND(N(K405)&gt;=3,G405&lt;&gt;"Perdido"),"Mover para Perdido",IF(Q405&lt;TODAY(),"Atrasado",IF(Q405=TODAY(),"Hoje","No prazo"))))</f>
        <v/>
      </c>
      <c r="S405" s="12"/>
      <c r="T405" s="12"/>
      <c r="U405" s="12"/>
      <c r="V405" s="7"/>
      <c r="W405" s="15" t="str">
        <f aca="true">IF(G405="","",IF(OR(G405="Novo contato",G405="Em conversa"),IF(J405="",TODAY(),J405+1),IF(G405="Avaliação marcada",IF(L405="",TODAY(),L405-1),IF(G405="Proposta enviada",IF(J405="",TODAY(),J405+2),IF(G405="Fechou pacote",IF(J405="",TODAY(),J405+7),IF(G405="Em tratamento",IF(M405="",TODAY(),IF(TODAY()&lt;=M405+1,M405+1,EDATE(M405,6)-30)),IF(G405="Pós-venda",IF(J405="",TODAY(),J405+7),IF(G405="Perdido",IF(J405="",TODAY(),J405+60),""))))))))</f>
        <v/>
      </c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13" t="str">
        <f aca="false">IF(OR(E406="",E406="A completar",E406="Ainda não sabe"),"",IF(OR(E406="Limpeza de pele",E406="Peeling de diamante",E406="Microagulhamento"),"Rosto","Corpo"))</f>
        <v/>
      </c>
      <c r="G406" s="12"/>
      <c r="H406" s="12"/>
      <c r="I406" s="12"/>
      <c r="J406" s="14"/>
      <c r="K406" s="12"/>
      <c r="L406" s="14"/>
      <c r="M406" s="14"/>
      <c r="N406" s="12"/>
      <c r="O406" s="12"/>
      <c r="P406" s="15" t="str">
        <f aca="false">IF(M406="","",EDATE(M406,6))</f>
        <v/>
      </c>
      <c r="Q406" s="15" t="str">
        <f aca="false">IF(W406="","",IF(WEEKDAY(W406)=1,W406+1,W406))</f>
        <v/>
      </c>
      <c r="R406" s="13" t="str">
        <f aca="true">IF(Q406="","",IF(AND(N(K406)&gt;=3,G406&lt;&gt;"Perdido"),"Mover para Perdido",IF(Q406&lt;TODAY(),"Atrasado",IF(Q406=TODAY(),"Hoje","No prazo"))))</f>
        <v/>
      </c>
      <c r="S406" s="12"/>
      <c r="T406" s="12"/>
      <c r="U406" s="12"/>
      <c r="V406" s="7"/>
      <c r="W406" s="15" t="str">
        <f aca="true">IF(G406="","",IF(OR(G406="Novo contato",G406="Em conversa"),IF(J406="",TODAY(),J406+1),IF(G406="Avaliação marcada",IF(L406="",TODAY(),L406-1),IF(G406="Proposta enviada",IF(J406="",TODAY(),J406+2),IF(G406="Fechou pacote",IF(J406="",TODAY(),J406+7),IF(G406="Em tratamento",IF(M406="",TODAY(),IF(TODAY()&lt;=M406+1,M406+1,EDATE(M406,6)-30)),IF(G406="Pós-venda",IF(J406="",TODAY(),J406+7),IF(G406="Perdido",IF(J406="",TODAY(),J406+60),""))))))))</f>
        <v/>
      </c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13" t="str">
        <f aca="false">IF(OR(E407="",E407="A completar",E407="Ainda não sabe"),"",IF(OR(E407="Limpeza de pele",E407="Peeling de diamante",E407="Microagulhamento"),"Rosto","Corpo"))</f>
        <v/>
      </c>
      <c r="G407" s="12"/>
      <c r="H407" s="12"/>
      <c r="I407" s="12"/>
      <c r="J407" s="14"/>
      <c r="K407" s="12"/>
      <c r="L407" s="14"/>
      <c r="M407" s="14"/>
      <c r="N407" s="12"/>
      <c r="O407" s="12"/>
      <c r="P407" s="15" t="str">
        <f aca="false">IF(M407="","",EDATE(M407,6))</f>
        <v/>
      </c>
      <c r="Q407" s="15" t="str">
        <f aca="false">IF(W407="","",IF(WEEKDAY(W407)=1,W407+1,W407))</f>
        <v/>
      </c>
      <c r="R407" s="13" t="str">
        <f aca="true">IF(Q407="","",IF(AND(N(K407)&gt;=3,G407&lt;&gt;"Perdido"),"Mover para Perdido",IF(Q407&lt;TODAY(),"Atrasado",IF(Q407=TODAY(),"Hoje","No prazo"))))</f>
        <v/>
      </c>
      <c r="S407" s="12"/>
      <c r="T407" s="12"/>
      <c r="U407" s="12"/>
      <c r="V407" s="7"/>
      <c r="W407" s="15" t="str">
        <f aca="true">IF(G407="","",IF(OR(G407="Novo contato",G407="Em conversa"),IF(J407="",TODAY(),J407+1),IF(G407="Avaliação marcada",IF(L407="",TODAY(),L407-1),IF(G407="Proposta enviada",IF(J407="",TODAY(),J407+2),IF(G407="Fechou pacote",IF(J407="",TODAY(),J407+7),IF(G407="Em tratamento",IF(M407="",TODAY(),IF(TODAY()&lt;=M407+1,M407+1,EDATE(M407,6)-30)),IF(G407="Pós-venda",IF(J407="",TODAY(),J407+7),IF(G407="Perdido",IF(J407="",TODAY(),J407+60),""))))))))</f>
        <v/>
      </c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13" t="str">
        <f aca="false">IF(OR(E408="",E408="A completar",E408="Ainda não sabe"),"",IF(OR(E408="Limpeza de pele",E408="Peeling de diamante",E408="Microagulhamento"),"Rosto","Corpo"))</f>
        <v/>
      </c>
      <c r="G408" s="12"/>
      <c r="H408" s="12"/>
      <c r="I408" s="12"/>
      <c r="J408" s="14"/>
      <c r="K408" s="12"/>
      <c r="L408" s="14"/>
      <c r="M408" s="14"/>
      <c r="N408" s="12"/>
      <c r="O408" s="12"/>
      <c r="P408" s="15" t="str">
        <f aca="false">IF(M408="","",EDATE(M408,6))</f>
        <v/>
      </c>
      <c r="Q408" s="15" t="str">
        <f aca="false">IF(W408="","",IF(WEEKDAY(W408)=1,W408+1,W408))</f>
        <v/>
      </c>
      <c r="R408" s="13" t="str">
        <f aca="true">IF(Q408="","",IF(AND(N(K408)&gt;=3,G408&lt;&gt;"Perdido"),"Mover para Perdido",IF(Q408&lt;TODAY(),"Atrasado",IF(Q408=TODAY(),"Hoje","No prazo"))))</f>
        <v/>
      </c>
      <c r="S408" s="12"/>
      <c r="T408" s="12"/>
      <c r="U408" s="12"/>
      <c r="V408" s="7"/>
      <c r="W408" s="15" t="str">
        <f aca="true">IF(G408="","",IF(OR(G408="Novo contato",G408="Em conversa"),IF(J408="",TODAY(),J408+1),IF(G408="Avaliação marcada",IF(L408="",TODAY(),L408-1),IF(G408="Proposta enviada",IF(J408="",TODAY(),J408+2),IF(G408="Fechou pacote",IF(J408="",TODAY(),J408+7),IF(G408="Em tratamento",IF(M408="",TODAY(),IF(TODAY()&lt;=M408+1,M408+1,EDATE(M408,6)-30)),IF(G408="Pós-venda",IF(J408="",TODAY(),J408+7),IF(G408="Perdido",IF(J408="",TODAY(),J408+60),""))))))))</f>
        <v/>
      </c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13" t="str">
        <f aca="false">IF(OR(E409="",E409="A completar",E409="Ainda não sabe"),"",IF(OR(E409="Limpeza de pele",E409="Peeling de diamante",E409="Microagulhamento"),"Rosto","Corpo"))</f>
        <v/>
      </c>
      <c r="G409" s="12"/>
      <c r="H409" s="12"/>
      <c r="I409" s="12"/>
      <c r="J409" s="14"/>
      <c r="K409" s="12"/>
      <c r="L409" s="14"/>
      <c r="M409" s="14"/>
      <c r="N409" s="12"/>
      <c r="O409" s="12"/>
      <c r="P409" s="15" t="str">
        <f aca="false">IF(M409="","",EDATE(M409,6))</f>
        <v/>
      </c>
      <c r="Q409" s="15" t="str">
        <f aca="false">IF(W409="","",IF(WEEKDAY(W409)=1,W409+1,W409))</f>
        <v/>
      </c>
      <c r="R409" s="13" t="str">
        <f aca="true">IF(Q409="","",IF(AND(N(K409)&gt;=3,G409&lt;&gt;"Perdido"),"Mover para Perdido",IF(Q409&lt;TODAY(),"Atrasado",IF(Q409=TODAY(),"Hoje","No prazo"))))</f>
        <v/>
      </c>
      <c r="S409" s="12"/>
      <c r="T409" s="12"/>
      <c r="U409" s="12"/>
      <c r="V409" s="7"/>
      <c r="W409" s="15" t="str">
        <f aca="true">IF(G409="","",IF(OR(G409="Novo contato",G409="Em conversa"),IF(J409="",TODAY(),J409+1),IF(G409="Avaliação marcada",IF(L409="",TODAY(),L409-1),IF(G409="Proposta enviada",IF(J409="",TODAY(),J409+2),IF(G409="Fechou pacote",IF(J409="",TODAY(),J409+7),IF(G409="Em tratamento",IF(M409="",TODAY(),IF(TODAY()&lt;=M409+1,M409+1,EDATE(M409,6)-30)),IF(G409="Pós-venda",IF(J409="",TODAY(),J409+7),IF(G409="Perdido",IF(J409="",TODAY(),J409+60),""))))))))</f>
        <v/>
      </c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13" t="str">
        <f aca="false">IF(OR(E410="",E410="A completar",E410="Ainda não sabe"),"",IF(OR(E410="Limpeza de pele",E410="Peeling de diamante",E410="Microagulhamento"),"Rosto","Corpo"))</f>
        <v/>
      </c>
      <c r="G410" s="12"/>
      <c r="H410" s="12"/>
      <c r="I410" s="12"/>
      <c r="J410" s="14"/>
      <c r="K410" s="12"/>
      <c r="L410" s="14"/>
      <c r="M410" s="14"/>
      <c r="N410" s="12"/>
      <c r="O410" s="12"/>
      <c r="P410" s="15" t="str">
        <f aca="false">IF(M410="","",EDATE(M410,6))</f>
        <v/>
      </c>
      <c r="Q410" s="15" t="str">
        <f aca="false">IF(W410="","",IF(WEEKDAY(W410)=1,W410+1,W410))</f>
        <v/>
      </c>
      <c r="R410" s="13" t="str">
        <f aca="true">IF(Q410="","",IF(AND(N(K410)&gt;=3,G410&lt;&gt;"Perdido"),"Mover para Perdido",IF(Q410&lt;TODAY(),"Atrasado",IF(Q410=TODAY(),"Hoje","No prazo"))))</f>
        <v/>
      </c>
      <c r="S410" s="12"/>
      <c r="T410" s="12"/>
      <c r="U410" s="12"/>
      <c r="V410" s="7"/>
      <c r="W410" s="15" t="str">
        <f aca="true">IF(G410="","",IF(OR(G410="Novo contato",G410="Em conversa"),IF(J410="",TODAY(),J410+1),IF(G410="Avaliação marcada",IF(L410="",TODAY(),L410-1),IF(G410="Proposta enviada",IF(J410="",TODAY(),J410+2),IF(G410="Fechou pacote",IF(J410="",TODAY(),J410+7),IF(G410="Em tratamento",IF(M410="",TODAY(),IF(TODAY()&lt;=M410+1,M410+1,EDATE(M410,6)-30)),IF(G410="Pós-venda",IF(J410="",TODAY(),J410+7),IF(G410="Perdido",IF(J410="",TODAY(),J410+60),""))))))))</f>
        <v/>
      </c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13" t="str">
        <f aca="false">IF(OR(E411="",E411="A completar",E411="Ainda não sabe"),"",IF(OR(E411="Limpeza de pele",E411="Peeling de diamante",E411="Microagulhamento"),"Rosto","Corpo"))</f>
        <v/>
      </c>
      <c r="G411" s="12"/>
      <c r="H411" s="12"/>
      <c r="I411" s="12"/>
      <c r="J411" s="14"/>
      <c r="K411" s="12"/>
      <c r="L411" s="14"/>
      <c r="M411" s="14"/>
      <c r="N411" s="12"/>
      <c r="O411" s="12"/>
      <c r="P411" s="15" t="str">
        <f aca="false">IF(M411="","",EDATE(M411,6))</f>
        <v/>
      </c>
      <c r="Q411" s="15" t="str">
        <f aca="false">IF(W411="","",IF(WEEKDAY(W411)=1,W411+1,W411))</f>
        <v/>
      </c>
      <c r="R411" s="13" t="str">
        <f aca="true">IF(Q411="","",IF(AND(N(K411)&gt;=3,G411&lt;&gt;"Perdido"),"Mover para Perdido",IF(Q411&lt;TODAY(),"Atrasado",IF(Q411=TODAY(),"Hoje","No prazo"))))</f>
        <v/>
      </c>
      <c r="S411" s="12"/>
      <c r="T411" s="12"/>
      <c r="U411" s="12"/>
      <c r="V411" s="7"/>
      <c r="W411" s="15" t="str">
        <f aca="true">IF(G411="","",IF(OR(G411="Novo contato",G411="Em conversa"),IF(J411="",TODAY(),J411+1),IF(G411="Avaliação marcada",IF(L411="",TODAY(),L411-1),IF(G411="Proposta enviada",IF(J411="",TODAY(),J411+2),IF(G411="Fechou pacote",IF(J411="",TODAY(),J411+7),IF(G411="Em tratamento",IF(M411="",TODAY(),IF(TODAY()&lt;=M411+1,M411+1,EDATE(M411,6)-30)),IF(G411="Pós-venda",IF(J411="",TODAY(),J411+7),IF(G411="Perdido",IF(J411="",TODAY(),J411+60),""))))))))</f>
        <v/>
      </c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13" t="str">
        <f aca="false">IF(OR(E412="",E412="A completar",E412="Ainda não sabe"),"",IF(OR(E412="Limpeza de pele",E412="Peeling de diamante",E412="Microagulhamento"),"Rosto","Corpo"))</f>
        <v/>
      </c>
      <c r="G412" s="12"/>
      <c r="H412" s="12"/>
      <c r="I412" s="12"/>
      <c r="J412" s="14"/>
      <c r="K412" s="12"/>
      <c r="L412" s="14"/>
      <c r="M412" s="14"/>
      <c r="N412" s="12"/>
      <c r="O412" s="12"/>
      <c r="P412" s="15" t="str">
        <f aca="false">IF(M412="","",EDATE(M412,6))</f>
        <v/>
      </c>
      <c r="Q412" s="15" t="str">
        <f aca="false">IF(W412="","",IF(WEEKDAY(W412)=1,W412+1,W412))</f>
        <v/>
      </c>
      <c r="R412" s="13" t="str">
        <f aca="true">IF(Q412="","",IF(AND(N(K412)&gt;=3,G412&lt;&gt;"Perdido"),"Mover para Perdido",IF(Q412&lt;TODAY(),"Atrasado",IF(Q412=TODAY(),"Hoje","No prazo"))))</f>
        <v/>
      </c>
      <c r="S412" s="12"/>
      <c r="T412" s="12"/>
      <c r="U412" s="12"/>
      <c r="V412" s="7"/>
      <c r="W412" s="15" t="str">
        <f aca="true">IF(G412="","",IF(OR(G412="Novo contato",G412="Em conversa"),IF(J412="",TODAY(),J412+1),IF(G412="Avaliação marcada",IF(L412="",TODAY(),L412-1),IF(G412="Proposta enviada",IF(J412="",TODAY(),J412+2),IF(G412="Fechou pacote",IF(J412="",TODAY(),J412+7),IF(G412="Em tratamento",IF(M412="",TODAY(),IF(TODAY()&lt;=M412+1,M412+1,EDATE(M412,6)-30)),IF(G412="Pós-venda",IF(J412="",TODAY(),J412+7),IF(G412="Perdido",IF(J412="",TODAY(),J412+60),""))))))))</f>
        <v/>
      </c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13" t="str">
        <f aca="false">IF(OR(E413="",E413="A completar",E413="Ainda não sabe"),"",IF(OR(E413="Limpeza de pele",E413="Peeling de diamante",E413="Microagulhamento"),"Rosto","Corpo"))</f>
        <v/>
      </c>
      <c r="G413" s="12"/>
      <c r="H413" s="12"/>
      <c r="I413" s="12"/>
      <c r="J413" s="14"/>
      <c r="K413" s="12"/>
      <c r="L413" s="14"/>
      <c r="M413" s="14"/>
      <c r="N413" s="12"/>
      <c r="O413" s="12"/>
      <c r="P413" s="15" t="str">
        <f aca="false">IF(M413="","",EDATE(M413,6))</f>
        <v/>
      </c>
      <c r="Q413" s="15" t="str">
        <f aca="false">IF(W413="","",IF(WEEKDAY(W413)=1,W413+1,W413))</f>
        <v/>
      </c>
      <c r="R413" s="13" t="str">
        <f aca="true">IF(Q413="","",IF(AND(N(K413)&gt;=3,G413&lt;&gt;"Perdido"),"Mover para Perdido",IF(Q413&lt;TODAY(),"Atrasado",IF(Q413=TODAY(),"Hoje","No prazo"))))</f>
        <v/>
      </c>
      <c r="S413" s="12"/>
      <c r="T413" s="12"/>
      <c r="U413" s="12"/>
      <c r="V413" s="7"/>
      <c r="W413" s="15" t="str">
        <f aca="true">IF(G413="","",IF(OR(G413="Novo contato",G413="Em conversa"),IF(J413="",TODAY(),J413+1),IF(G413="Avaliação marcada",IF(L413="",TODAY(),L413-1),IF(G413="Proposta enviada",IF(J413="",TODAY(),J413+2),IF(G413="Fechou pacote",IF(J413="",TODAY(),J413+7),IF(G413="Em tratamento",IF(M413="",TODAY(),IF(TODAY()&lt;=M413+1,M413+1,EDATE(M413,6)-30)),IF(G413="Pós-venda",IF(J413="",TODAY(),J413+7),IF(G413="Perdido",IF(J413="",TODAY(),J413+60),""))))))))</f>
        <v/>
      </c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13" t="str">
        <f aca="false">IF(OR(E414="",E414="A completar",E414="Ainda não sabe"),"",IF(OR(E414="Limpeza de pele",E414="Peeling de diamante",E414="Microagulhamento"),"Rosto","Corpo"))</f>
        <v/>
      </c>
      <c r="G414" s="12"/>
      <c r="H414" s="12"/>
      <c r="I414" s="12"/>
      <c r="J414" s="14"/>
      <c r="K414" s="12"/>
      <c r="L414" s="14"/>
      <c r="M414" s="14"/>
      <c r="N414" s="12"/>
      <c r="O414" s="12"/>
      <c r="P414" s="15" t="str">
        <f aca="false">IF(M414="","",EDATE(M414,6))</f>
        <v/>
      </c>
      <c r="Q414" s="15" t="str">
        <f aca="false">IF(W414="","",IF(WEEKDAY(W414)=1,W414+1,W414))</f>
        <v/>
      </c>
      <c r="R414" s="13" t="str">
        <f aca="true">IF(Q414="","",IF(AND(N(K414)&gt;=3,G414&lt;&gt;"Perdido"),"Mover para Perdido",IF(Q414&lt;TODAY(),"Atrasado",IF(Q414=TODAY(),"Hoje","No prazo"))))</f>
        <v/>
      </c>
      <c r="S414" s="12"/>
      <c r="T414" s="12"/>
      <c r="U414" s="12"/>
      <c r="V414" s="7"/>
      <c r="W414" s="15" t="str">
        <f aca="true">IF(G414="","",IF(OR(G414="Novo contato",G414="Em conversa"),IF(J414="",TODAY(),J414+1),IF(G414="Avaliação marcada",IF(L414="",TODAY(),L414-1),IF(G414="Proposta enviada",IF(J414="",TODAY(),J414+2),IF(G414="Fechou pacote",IF(J414="",TODAY(),J414+7),IF(G414="Em tratamento",IF(M414="",TODAY(),IF(TODAY()&lt;=M414+1,M414+1,EDATE(M414,6)-30)),IF(G414="Pós-venda",IF(J414="",TODAY(),J414+7),IF(G414="Perdido",IF(J414="",TODAY(),J414+60),""))))))))</f>
        <v/>
      </c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13" t="str">
        <f aca="false">IF(OR(E415="",E415="A completar",E415="Ainda não sabe"),"",IF(OR(E415="Limpeza de pele",E415="Peeling de diamante",E415="Microagulhamento"),"Rosto","Corpo"))</f>
        <v/>
      </c>
      <c r="G415" s="12"/>
      <c r="H415" s="12"/>
      <c r="I415" s="12"/>
      <c r="J415" s="14"/>
      <c r="K415" s="12"/>
      <c r="L415" s="14"/>
      <c r="M415" s="14"/>
      <c r="N415" s="12"/>
      <c r="O415" s="12"/>
      <c r="P415" s="15" t="str">
        <f aca="false">IF(M415="","",EDATE(M415,6))</f>
        <v/>
      </c>
      <c r="Q415" s="15" t="str">
        <f aca="false">IF(W415="","",IF(WEEKDAY(W415)=1,W415+1,W415))</f>
        <v/>
      </c>
      <c r="R415" s="13" t="str">
        <f aca="true">IF(Q415="","",IF(AND(N(K415)&gt;=3,G415&lt;&gt;"Perdido"),"Mover para Perdido",IF(Q415&lt;TODAY(),"Atrasado",IF(Q415=TODAY(),"Hoje","No prazo"))))</f>
        <v/>
      </c>
      <c r="S415" s="12"/>
      <c r="T415" s="12"/>
      <c r="U415" s="12"/>
      <c r="V415" s="7"/>
      <c r="W415" s="15" t="str">
        <f aca="true">IF(G415="","",IF(OR(G415="Novo contato",G415="Em conversa"),IF(J415="",TODAY(),J415+1),IF(G415="Avaliação marcada",IF(L415="",TODAY(),L415-1),IF(G415="Proposta enviada",IF(J415="",TODAY(),J415+2),IF(G415="Fechou pacote",IF(J415="",TODAY(),J415+7),IF(G415="Em tratamento",IF(M415="",TODAY(),IF(TODAY()&lt;=M415+1,M415+1,EDATE(M415,6)-30)),IF(G415="Pós-venda",IF(J415="",TODAY(),J415+7),IF(G415="Perdido",IF(J415="",TODAY(),J415+60),""))))))))</f>
        <v/>
      </c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13" t="str">
        <f aca="false">IF(OR(E416="",E416="A completar",E416="Ainda não sabe"),"",IF(OR(E416="Limpeza de pele",E416="Peeling de diamante",E416="Microagulhamento"),"Rosto","Corpo"))</f>
        <v/>
      </c>
      <c r="G416" s="12"/>
      <c r="H416" s="12"/>
      <c r="I416" s="12"/>
      <c r="J416" s="14"/>
      <c r="K416" s="12"/>
      <c r="L416" s="14"/>
      <c r="M416" s="14"/>
      <c r="N416" s="12"/>
      <c r="O416" s="12"/>
      <c r="P416" s="15" t="str">
        <f aca="false">IF(M416="","",EDATE(M416,6))</f>
        <v/>
      </c>
      <c r="Q416" s="15" t="str">
        <f aca="false">IF(W416="","",IF(WEEKDAY(W416)=1,W416+1,W416))</f>
        <v/>
      </c>
      <c r="R416" s="13" t="str">
        <f aca="true">IF(Q416="","",IF(AND(N(K416)&gt;=3,G416&lt;&gt;"Perdido"),"Mover para Perdido",IF(Q416&lt;TODAY(),"Atrasado",IF(Q416=TODAY(),"Hoje","No prazo"))))</f>
        <v/>
      </c>
      <c r="S416" s="12"/>
      <c r="T416" s="12"/>
      <c r="U416" s="12"/>
      <c r="V416" s="7"/>
      <c r="W416" s="15" t="str">
        <f aca="true">IF(G416="","",IF(OR(G416="Novo contato",G416="Em conversa"),IF(J416="",TODAY(),J416+1),IF(G416="Avaliação marcada",IF(L416="",TODAY(),L416-1),IF(G416="Proposta enviada",IF(J416="",TODAY(),J416+2),IF(G416="Fechou pacote",IF(J416="",TODAY(),J416+7),IF(G416="Em tratamento",IF(M416="",TODAY(),IF(TODAY()&lt;=M416+1,M416+1,EDATE(M416,6)-30)),IF(G416="Pós-venda",IF(J416="",TODAY(),J416+7),IF(G416="Perdido",IF(J416="",TODAY(),J416+60),""))))))))</f>
        <v/>
      </c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13" t="str">
        <f aca="false">IF(OR(E417="",E417="A completar",E417="Ainda não sabe"),"",IF(OR(E417="Limpeza de pele",E417="Peeling de diamante",E417="Microagulhamento"),"Rosto","Corpo"))</f>
        <v/>
      </c>
      <c r="G417" s="12"/>
      <c r="H417" s="12"/>
      <c r="I417" s="12"/>
      <c r="J417" s="14"/>
      <c r="K417" s="12"/>
      <c r="L417" s="14"/>
      <c r="M417" s="14"/>
      <c r="N417" s="12"/>
      <c r="O417" s="12"/>
      <c r="P417" s="15" t="str">
        <f aca="false">IF(M417="","",EDATE(M417,6))</f>
        <v/>
      </c>
      <c r="Q417" s="15" t="str">
        <f aca="false">IF(W417="","",IF(WEEKDAY(W417)=1,W417+1,W417))</f>
        <v/>
      </c>
      <c r="R417" s="13" t="str">
        <f aca="true">IF(Q417="","",IF(AND(N(K417)&gt;=3,G417&lt;&gt;"Perdido"),"Mover para Perdido",IF(Q417&lt;TODAY(),"Atrasado",IF(Q417=TODAY(),"Hoje","No prazo"))))</f>
        <v/>
      </c>
      <c r="S417" s="12"/>
      <c r="T417" s="12"/>
      <c r="U417" s="12"/>
      <c r="V417" s="7"/>
      <c r="W417" s="15" t="str">
        <f aca="true">IF(G417="","",IF(OR(G417="Novo contato",G417="Em conversa"),IF(J417="",TODAY(),J417+1),IF(G417="Avaliação marcada",IF(L417="",TODAY(),L417-1),IF(G417="Proposta enviada",IF(J417="",TODAY(),J417+2),IF(G417="Fechou pacote",IF(J417="",TODAY(),J417+7),IF(G417="Em tratamento",IF(M417="",TODAY(),IF(TODAY()&lt;=M417+1,M417+1,EDATE(M417,6)-30)),IF(G417="Pós-venda",IF(J417="",TODAY(),J417+7),IF(G417="Perdido",IF(J417="",TODAY(),J417+60),""))))))))</f>
        <v/>
      </c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13" t="str">
        <f aca="false">IF(OR(E418="",E418="A completar",E418="Ainda não sabe"),"",IF(OR(E418="Limpeza de pele",E418="Peeling de diamante",E418="Microagulhamento"),"Rosto","Corpo"))</f>
        <v/>
      </c>
      <c r="G418" s="12"/>
      <c r="H418" s="12"/>
      <c r="I418" s="12"/>
      <c r="J418" s="14"/>
      <c r="K418" s="12"/>
      <c r="L418" s="14"/>
      <c r="M418" s="14"/>
      <c r="N418" s="12"/>
      <c r="O418" s="12"/>
      <c r="P418" s="15" t="str">
        <f aca="false">IF(M418="","",EDATE(M418,6))</f>
        <v/>
      </c>
      <c r="Q418" s="15" t="str">
        <f aca="false">IF(W418="","",IF(WEEKDAY(W418)=1,W418+1,W418))</f>
        <v/>
      </c>
      <c r="R418" s="13" t="str">
        <f aca="true">IF(Q418="","",IF(AND(N(K418)&gt;=3,G418&lt;&gt;"Perdido"),"Mover para Perdido",IF(Q418&lt;TODAY(),"Atrasado",IF(Q418=TODAY(),"Hoje","No prazo"))))</f>
        <v/>
      </c>
      <c r="S418" s="12"/>
      <c r="T418" s="12"/>
      <c r="U418" s="12"/>
      <c r="V418" s="7"/>
      <c r="W418" s="15" t="str">
        <f aca="true">IF(G418="","",IF(OR(G418="Novo contato",G418="Em conversa"),IF(J418="",TODAY(),J418+1),IF(G418="Avaliação marcada",IF(L418="",TODAY(),L418-1),IF(G418="Proposta enviada",IF(J418="",TODAY(),J418+2),IF(G418="Fechou pacote",IF(J418="",TODAY(),J418+7),IF(G418="Em tratamento",IF(M418="",TODAY(),IF(TODAY()&lt;=M418+1,M418+1,EDATE(M418,6)-30)),IF(G418="Pós-venda",IF(J418="",TODAY(),J418+7),IF(G418="Perdido",IF(J418="",TODAY(),J418+60),""))))))))</f>
        <v/>
      </c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13" t="str">
        <f aca="false">IF(OR(E419="",E419="A completar",E419="Ainda não sabe"),"",IF(OR(E419="Limpeza de pele",E419="Peeling de diamante",E419="Microagulhamento"),"Rosto","Corpo"))</f>
        <v/>
      </c>
      <c r="G419" s="12"/>
      <c r="H419" s="12"/>
      <c r="I419" s="12"/>
      <c r="J419" s="14"/>
      <c r="K419" s="12"/>
      <c r="L419" s="14"/>
      <c r="M419" s="14"/>
      <c r="N419" s="12"/>
      <c r="O419" s="12"/>
      <c r="P419" s="15" t="str">
        <f aca="false">IF(M419="","",EDATE(M419,6))</f>
        <v/>
      </c>
      <c r="Q419" s="15" t="str">
        <f aca="false">IF(W419="","",IF(WEEKDAY(W419)=1,W419+1,W419))</f>
        <v/>
      </c>
      <c r="R419" s="13" t="str">
        <f aca="true">IF(Q419="","",IF(AND(N(K419)&gt;=3,G419&lt;&gt;"Perdido"),"Mover para Perdido",IF(Q419&lt;TODAY(),"Atrasado",IF(Q419=TODAY(),"Hoje","No prazo"))))</f>
        <v/>
      </c>
      <c r="S419" s="12"/>
      <c r="T419" s="12"/>
      <c r="U419" s="12"/>
      <c r="V419" s="7"/>
      <c r="W419" s="15" t="str">
        <f aca="true">IF(G419="","",IF(OR(G419="Novo contato",G419="Em conversa"),IF(J419="",TODAY(),J419+1),IF(G419="Avaliação marcada",IF(L419="",TODAY(),L419-1),IF(G419="Proposta enviada",IF(J419="",TODAY(),J419+2),IF(G419="Fechou pacote",IF(J419="",TODAY(),J419+7),IF(G419="Em tratamento",IF(M419="",TODAY(),IF(TODAY()&lt;=M419+1,M419+1,EDATE(M419,6)-30)),IF(G419="Pós-venda",IF(J419="",TODAY(),J419+7),IF(G419="Perdido",IF(J419="",TODAY(),J419+60),""))))))))</f>
        <v/>
      </c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13" t="str">
        <f aca="false">IF(OR(E420="",E420="A completar",E420="Ainda não sabe"),"",IF(OR(E420="Limpeza de pele",E420="Peeling de diamante",E420="Microagulhamento"),"Rosto","Corpo"))</f>
        <v/>
      </c>
      <c r="G420" s="12"/>
      <c r="H420" s="12"/>
      <c r="I420" s="12"/>
      <c r="J420" s="14"/>
      <c r="K420" s="12"/>
      <c r="L420" s="14"/>
      <c r="M420" s="14"/>
      <c r="N420" s="12"/>
      <c r="O420" s="12"/>
      <c r="P420" s="15" t="str">
        <f aca="false">IF(M420="","",EDATE(M420,6))</f>
        <v/>
      </c>
      <c r="Q420" s="15" t="str">
        <f aca="false">IF(W420="","",IF(WEEKDAY(W420)=1,W420+1,W420))</f>
        <v/>
      </c>
      <c r="R420" s="13" t="str">
        <f aca="true">IF(Q420="","",IF(AND(N(K420)&gt;=3,G420&lt;&gt;"Perdido"),"Mover para Perdido",IF(Q420&lt;TODAY(),"Atrasado",IF(Q420=TODAY(),"Hoje","No prazo"))))</f>
        <v/>
      </c>
      <c r="S420" s="12"/>
      <c r="T420" s="12"/>
      <c r="U420" s="12"/>
      <c r="V420" s="7"/>
      <c r="W420" s="15" t="str">
        <f aca="true">IF(G420="","",IF(OR(G420="Novo contato",G420="Em conversa"),IF(J420="",TODAY(),J420+1),IF(G420="Avaliação marcada",IF(L420="",TODAY(),L420-1),IF(G420="Proposta enviada",IF(J420="",TODAY(),J420+2),IF(G420="Fechou pacote",IF(J420="",TODAY(),J420+7),IF(G420="Em tratamento",IF(M420="",TODAY(),IF(TODAY()&lt;=M420+1,M420+1,EDATE(M420,6)-30)),IF(G420="Pós-venda",IF(J420="",TODAY(),J420+7),IF(G420="Perdido",IF(J420="",TODAY(),J420+60),""))))))))</f>
        <v/>
      </c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13" t="str">
        <f aca="false">IF(OR(E421="",E421="A completar",E421="Ainda não sabe"),"",IF(OR(E421="Limpeza de pele",E421="Peeling de diamante",E421="Microagulhamento"),"Rosto","Corpo"))</f>
        <v/>
      </c>
      <c r="G421" s="12"/>
      <c r="H421" s="12"/>
      <c r="I421" s="12"/>
      <c r="J421" s="14"/>
      <c r="K421" s="12"/>
      <c r="L421" s="14"/>
      <c r="M421" s="14"/>
      <c r="N421" s="12"/>
      <c r="O421" s="12"/>
      <c r="P421" s="15" t="str">
        <f aca="false">IF(M421="","",EDATE(M421,6))</f>
        <v/>
      </c>
      <c r="Q421" s="15" t="str">
        <f aca="false">IF(W421="","",IF(WEEKDAY(W421)=1,W421+1,W421))</f>
        <v/>
      </c>
      <c r="R421" s="13" t="str">
        <f aca="true">IF(Q421="","",IF(AND(N(K421)&gt;=3,G421&lt;&gt;"Perdido"),"Mover para Perdido",IF(Q421&lt;TODAY(),"Atrasado",IF(Q421=TODAY(),"Hoje","No prazo"))))</f>
        <v/>
      </c>
      <c r="S421" s="12"/>
      <c r="T421" s="12"/>
      <c r="U421" s="12"/>
      <c r="V421" s="7"/>
      <c r="W421" s="15" t="str">
        <f aca="true">IF(G421="","",IF(OR(G421="Novo contato",G421="Em conversa"),IF(J421="",TODAY(),J421+1),IF(G421="Avaliação marcada",IF(L421="",TODAY(),L421-1),IF(G421="Proposta enviada",IF(J421="",TODAY(),J421+2),IF(G421="Fechou pacote",IF(J421="",TODAY(),J421+7),IF(G421="Em tratamento",IF(M421="",TODAY(),IF(TODAY()&lt;=M421+1,M421+1,EDATE(M421,6)-30)),IF(G421="Pós-venda",IF(J421="",TODAY(),J421+7),IF(G421="Perdido",IF(J421="",TODAY(),J421+60),""))))))))</f>
        <v/>
      </c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13" t="str">
        <f aca="false">IF(OR(E422="",E422="A completar",E422="Ainda não sabe"),"",IF(OR(E422="Limpeza de pele",E422="Peeling de diamante",E422="Microagulhamento"),"Rosto","Corpo"))</f>
        <v/>
      </c>
      <c r="G422" s="12"/>
      <c r="H422" s="12"/>
      <c r="I422" s="12"/>
      <c r="J422" s="14"/>
      <c r="K422" s="12"/>
      <c r="L422" s="14"/>
      <c r="M422" s="14"/>
      <c r="N422" s="12"/>
      <c r="O422" s="12"/>
      <c r="P422" s="15" t="str">
        <f aca="false">IF(M422="","",EDATE(M422,6))</f>
        <v/>
      </c>
      <c r="Q422" s="15" t="str">
        <f aca="false">IF(W422="","",IF(WEEKDAY(W422)=1,W422+1,W422))</f>
        <v/>
      </c>
      <c r="R422" s="13" t="str">
        <f aca="true">IF(Q422="","",IF(AND(N(K422)&gt;=3,G422&lt;&gt;"Perdido"),"Mover para Perdido",IF(Q422&lt;TODAY(),"Atrasado",IF(Q422=TODAY(),"Hoje","No prazo"))))</f>
        <v/>
      </c>
      <c r="S422" s="12"/>
      <c r="T422" s="12"/>
      <c r="U422" s="12"/>
      <c r="V422" s="7"/>
      <c r="W422" s="15" t="str">
        <f aca="true">IF(G422="","",IF(OR(G422="Novo contato",G422="Em conversa"),IF(J422="",TODAY(),J422+1),IF(G422="Avaliação marcada",IF(L422="",TODAY(),L422-1),IF(G422="Proposta enviada",IF(J422="",TODAY(),J422+2),IF(G422="Fechou pacote",IF(J422="",TODAY(),J422+7),IF(G422="Em tratamento",IF(M422="",TODAY(),IF(TODAY()&lt;=M422+1,M422+1,EDATE(M422,6)-30)),IF(G422="Pós-venda",IF(J422="",TODAY(),J422+7),IF(G422="Perdido",IF(J422="",TODAY(),J422+60),""))))))))</f>
        <v/>
      </c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13" t="str">
        <f aca="false">IF(OR(E423="",E423="A completar",E423="Ainda não sabe"),"",IF(OR(E423="Limpeza de pele",E423="Peeling de diamante",E423="Microagulhamento"),"Rosto","Corpo"))</f>
        <v/>
      </c>
      <c r="G423" s="12"/>
      <c r="H423" s="12"/>
      <c r="I423" s="12"/>
      <c r="J423" s="14"/>
      <c r="K423" s="12"/>
      <c r="L423" s="14"/>
      <c r="M423" s="14"/>
      <c r="N423" s="12"/>
      <c r="O423" s="12"/>
      <c r="P423" s="15" t="str">
        <f aca="false">IF(M423="","",EDATE(M423,6))</f>
        <v/>
      </c>
      <c r="Q423" s="15" t="str">
        <f aca="false">IF(W423="","",IF(WEEKDAY(W423)=1,W423+1,W423))</f>
        <v/>
      </c>
      <c r="R423" s="13" t="str">
        <f aca="true">IF(Q423="","",IF(AND(N(K423)&gt;=3,G423&lt;&gt;"Perdido"),"Mover para Perdido",IF(Q423&lt;TODAY(),"Atrasado",IF(Q423=TODAY(),"Hoje","No prazo"))))</f>
        <v/>
      </c>
      <c r="S423" s="12"/>
      <c r="T423" s="12"/>
      <c r="U423" s="12"/>
      <c r="V423" s="7"/>
      <c r="W423" s="15" t="str">
        <f aca="true">IF(G423="","",IF(OR(G423="Novo contato",G423="Em conversa"),IF(J423="",TODAY(),J423+1),IF(G423="Avaliação marcada",IF(L423="",TODAY(),L423-1),IF(G423="Proposta enviada",IF(J423="",TODAY(),J423+2),IF(G423="Fechou pacote",IF(J423="",TODAY(),J423+7),IF(G423="Em tratamento",IF(M423="",TODAY(),IF(TODAY()&lt;=M423+1,M423+1,EDATE(M423,6)-30)),IF(G423="Pós-venda",IF(J423="",TODAY(),J423+7),IF(G423="Perdido",IF(J423="",TODAY(),J423+60),""))))))))</f>
        <v/>
      </c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13" t="str">
        <f aca="false">IF(OR(E424="",E424="A completar",E424="Ainda não sabe"),"",IF(OR(E424="Limpeza de pele",E424="Peeling de diamante",E424="Microagulhamento"),"Rosto","Corpo"))</f>
        <v/>
      </c>
      <c r="G424" s="12"/>
      <c r="H424" s="12"/>
      <c r="I424" s="12"/>
      <c r="J424" s="14"/>
      <c r="K424" s="12"/>
      <c r="L424" s="14"/>
      <c r="M424" s="14"/>
      <c r="N424" s="12"/>
      <c r="O424" s="12"/>
      <c r="P424" s="15" t="str">
        <f aca="false">IF(M424="","",EDATE(M424,6))</f>
        <v/>
      </c>
      <c r="Q424" s="15" t="str">
        <f aca="false">IF(W424="","",IF(WEEKDAY(W424)=1,W424+1,W424))</f>
        <v/>
      </c>
      <c r="R424" s="13" t="str">
        <f aca="true">IF(Q424="","",IF(AND(N(K424)&gt;=3,G424&lt;&gt;"Perdido"),"Mover para Perdido",IF(Q424&lt;TODAY(),"Atrasado",IF(Q424=TODAY(),"Hoje","No prazo"))))</f>
        <v/>
      </c>
      <c r="S424" s="12"/>
      <c r="T424" s="12"/>
      <c r="U424" s="12"/>
      <c r="V424" s="7"/>
      <c r="W424" s="15" t="str">
        <f aca="true">IF(G424="","",IF(OR(G424="Novo contato",G424="Em conversa"),IF(J424="",TODAY(),J424+1),IF(G424="Avaliação marcada",IF(L424="",TODAY(),L424-1),IF(G424="Proposta enviada",IF(J424="",TODAY(),J424+2),IF(G424="Fechou pacote",IF(J424="",TODAY(),J424+7),IF(G424="Em tratamento",IF(M424="",TODAY(),IF(TODAY()&lt;=M424+1,M424+1,EDATE(M424,6)-30)),IF(G424="Pós-venda",IF(J424="",TODAY(),J424+7),IF(G424="Perdido",IF(J424="",TODAY(),J424+60),""))))))))</f>
        <v/>
      </c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13" t="str">
        <f aca="false">IF(OR(E425="",E425="A completar",E425="Ainda não sabe"),"",IF(OR(E425="Limpeza de pele",E425="Peeling de diamante",E425="Microagulhamento"),"Rosto","Corpo"))</f>
        <v/>
      </c>
      <c r="G425" s="12"/>
      <c r="H425" s="12"/>
      <c r="I425" s="12"/>
      <c r="J425" s="14"/>
      <c r="K425" s="12"/>
      <c r="L425" s="14"/>
      <c r="M425" s="14"/>
      <c r="N425" s="12"/>
      <c r="O425" s="12"/>
      <c r="P425" s="15" t="str">
        <f aca="false">IF(M425="","",EDATE(M425,6))</f>
        <v/>
      </c>
      <c r="Q425" s="15" t="str">
        <f aca="false">IF(W425="","",IF(WEEKDAY(W425)=1,W425+1,W425))</f>
        <v/>
      </c>
      <c r="R425" s="13" t="str">
        <f aca="true">IF(Q425="","",IF(AND(N(K425)&gt;=3,G425&lt;&gt;"Perdido"),"Mover para Perdido",IF(Q425&lt;TODAY(),"Atrasado",IF(Q425=TODAY(),"Hoje","No prazo"))))</f>
        <v/>
      </c>
      <c r="S425" s="12"/>
      <c r="T425" s="12"/>
      <c r="U425" s="12"/>
      <c r="V425" s="7"/>
      <c r="W425" s="15" t="str">
        <f aca="true">IF(G425="","",IF(OR(G425="Novo contato",G425="Em conversa"),IF(J425="",TODAY(),J425+1),IF(G425="Avaliação marcada",IF(L425="",TODAY(),L425-1),IF(G425="Proposta enviada",IF(J425="",TODAY(),J425+2),IF(G425="Fechou pacote",IF(J425="",TODAY(),J425+7),IF(G425="Em tratamento",IF(M425="",TODAY(),IF(TODAY()&lt;=M425+1,M425+1,EDATE(M425,6)-30)),IF(G425="Pós-venda",IF(J425="",TODAY(),J425+7),IF(G425="Perdido",IF(J425="",TODAY(),J425+60),""))))))))</f>
        <v/>
      </c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13" t="str">
        <f aca="false">IF(OR(E426="",E426="A completar",E426="Ainda não sabe"),"",IF(OR(E426="Limpeza de pele",E426="Peeling de diamante",E426="Microagulhamento"),"Rosto","Corpo"))</f>
        <v/>
      </c>
      <c r="G426" s="12"/>
      <c r="H426" s="12"/>
      <c r="I426" s="12"/>
      <c r="J426" s="14"/>
      <c r="K426" s="12"/>
      <c r="L426" s="14"/>
      <c r="M426" s="14"/>
      <c r="N426" s="12"/>
      <c r="O426" s="12"/>
      <c r="P426" s="15" t="str">
        <f aca="false">IF(M426="","",EDATE(M426,6))</f>
        <v/>
      </c>
      <c r="Q426" s="15" t="str">
        <f aca="false">IF(W426="","",IF(WEEKDAY(W426)=1,W426+1,W426))</f>
        <v/>
      </c>
      <c r="R426" s="13" t="str">
        <f aca="true">IF(Q426="","",IF(AND(N(K426)&gt;=3,G426&lt;&gt;"Perdido"),"Mover para Perdido",IF(Q426&lt;TODAY(),"Atrasado",IF(Q426=TODAY(),"Hoje","No prazo"))))</f>
        <v/>
      </c>
      <c r="S426" s="12"/>
      <c r="T426" s="12"/>
      <c r="U426" s="12"/>
      <c r="V426" s="7"/>
      <c r="W426" s="15" t="str">
        <f aca="true">IF(G426="","",IF(OR(G426="Novo contato",G426="Em conversa"),IF(J426="",TODAY(),J426+1),IF(G426="Avaliação marcada",IF(L426="",TODAY(),L426-1),IF(G426="Proposta enviada",IF(J426="",TODAY(),J426+2),IF(G426="Fechou pacote",IF(J426="",TODAY(),J426+7),IF(G426="Em tratamento",IF(M426="",TODAY(),IF(TODAY()&lt;=M426+1,M426+1,EDATE(M426,6)-30)),IF(G426="Pós-venda",IF(J426="",TODAY(),J426+7),IF(G426="Perdido",IF(J426="",TODAY(),J426+60),""))))))))</f>
        <v/>
      </c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13" t="str">
        <f aca="false">IF(OR(E427="",E427="A completar",E427="Ainda não sabe"),"",IF(OR(E427="Limpeza de pele",E427="Peeling de diamante",E427="Microagulhamento"),"Rosto","Corpo"))</f>
        <v/>
      </c>
      <c r="G427" s="12"/>
      <c r="H427" s="12"/>
      <c r="I427" s="12"/>
      <c r="J427" s="14"/>
      <c r="K427" s="12"/>
      <c r="L427" s="14"/>
      <c r="M427" s="14"/>
      <c r="N427" s="12"/>
      <c r="O427" s="12"/>
      <c r="P427" s="15" t="str">
        <f aca="false">IF(M427="","",EDATE(M427,6))</f>
        <v/>
      </c>
      <c r="Q427" s="15" t="str">
        <f aca="false">IF(W427="","",IF(WEEKDAY(W427)=1,W427+1,W427))</f>
        <v/>
      </c>
      <c r="R427" s="13" t="str">
        <f aca="true">IF(Q427="","",IF(AND(N(K427)&gt;=3,G427&lt;&gt;"Perdido"),"Mover para Perdido",IF(Q427&lt;TODAY(),"Atrasado",IF(Q427=TODAY(),"Hoje","No prazo"))))</f>
        <v/>
      </c>
      <c r="S427" s="12"/>
      <c r="T427" s="12"/>
      <c r="U427" s="12"/>
      <c r="V427" s="7"/>
      <c r="W427" s="15" t="str">
        <f aca="true">IF(G427="","",IF(OR(G427="Novo contato",G427="Em conversa"),IF(J427="",TODAY(),J427+1),IF(G427="Avaliação marcada",IF(L427="",TODAY(),L427-1),IF(G427="Proposta enviada",IF(J427="",TODAY(),J427+2),IF(G427="Fechou pacote",IF(J427="",TODAY(),J427+7),IF(G427="Em tratamento",IF(M427="",TODAY(),IF(TODAY()&lt;=M427+1,M427+1,EDATE(M427,6)-30)),IF(G427="Pós-venda",IF(J427="",TODAY(),J427+7),IF(G427="Perdido",IF(J427="",TODAY(),J427+60),""))))))))</f>
        <v/>
      </c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13" t="str">
        <f aca="false">IF(OR(E428="",E428="A completar",E428="Ainda não sabe"),"",IF(OR(E428="Limpeza de pele",E428="Peeling de diamante",E428="Microagulhamento"),"Rosto","Corpo"))</f>
        <v/>
      </c>
      <c r="G428" s="12"/>
      <c r="H428" s="12"/>
      <c r="I428" s="12"/>
      <c r="J428" s="14"/>
      <c r="K428" s="12"/>
      <c r="L428" s="14"/>
      <c r="M428" s="14"/>
      <c r="N428" s="12"/>
      <c r="O428" s="12"/>
      <c r="P428" s="15" t="str">
        <f aca="false">IF(M428="","",EDATE(M428,6))</f>
        <v/>
      </c>
      <c r="Q428" s="15" t="str">
        <f aca="false">IF(W428="","",IF(WEEKDAY(W428)=1,W428+1,W428))</f>
        <v/>
      </c>
      <c r="R428" s="13" t="str">
        <f aca="true">IF(Q428="","",IF(AND(N(K428)&gt;=3,G428&lt;&gt;"Perdido"),"Mover para Perdido",IF(Q428&lt;TODAY(),"Atrasado",IF(Q428=TODAY(),"Hoje","No prazo"))))</f>
        <v/>
      </c>
      <c r="S428" s="12"/>
      <c r="T428" s="12"/>
      <c r="U428" s="12"/>
      <c r="V428" s="7"/>
      <c r="W428" s="15" t="str">
        <f aca="true">IF(G428="","",IF(OR(G428="Novo contato",G428="Em conversa"),IF(J428="",TODAY(),J428+1),IF(G428="Avaliação marcada",IF(L428="",TODAY(),L428-1),IF(G428="Proposta enviada",IF(J428="",TODAY(),J428+2),IF(G428="Fechou pacote",IF(J428="",TODAY(),J428+7),IF(G428="Em tratamento",IF(M428="",TODAY(),IF(TODAY()&lt;=M428+1,M428+1,EDATE(M428,6)-30)),IF(G428="Pós-venda",IF(J428="",TODAY(),J428+7),IF(G428="Perdido",IF(J428="",TODAY(),J428+60),""))))))))</f>
        <v/>
      </c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13" t="str">
        <f aca="false">IF(OR(E429="",E429="A completar",E429="Ainda não sabe"),"",IF(OR(E429="Limpeza de pele",E429="Peeling de diamante",E429="Microagulhamento"),"Rosto","Corpo"))</f>
        <v/>
      </c>
      <c r="G429" s="12"/>
      <c r="H429" s="12"/>
      <c r="I429" s="12"/>
      <c r="J429" s="14"/>
      <c r="K429" s="12"/>
      <c r="L429" s="14"/>
      <c r="M429" s="14"/>
      <c r="N429" s="12"/>
      <c r="O429" s="12"/>
      <c r="P429" s="15" t="str">
        <f aca="false">IF(M429="","",EDATE(M429,6))</f>
        <v/>
      </c>
      <c r="Q429" s="15" t="str">
        <f aca="false">IF(W429="","",IF(WEEKDAY(W429)=1,W429+1,W429))</f>
        <v/>
      </c>
      <c r="R429" s="13" t="str">
        <f aca="true">IF(Q429="","",IF(AND(N(K429)&gt;=3,G429&lt;&gt;"Perdido"),"Mover para Perdido",IF(Q429&lt;TODAY(),"Atrasado",IF(Q429=TODAY(),"Hoje","No prazo"))))</f>
        <v/>
      </c>
      <c r="S429" s="12"/>
      <c r="T429" s="12"/>
      <c r="U429" s="12"/>
      <c r="V429" s="7"/>
      <c r="W429" s="15" t="str">
        <f aca="true">IF(G429="","",IF(OR(G429="Novo contato",G429="Em conversa"),IF(J429="",TODAY(),J429+1),IF(G429="Avaliação marcada",IF(L429="",TODAY(),L429-1),IF(G429="Proposta enviada",IF(J429="",TODAY(),J429+2),IF(G429="Fechou pacote",IF(J429="",TODAY(),J429+7),IF(G429="Em tratamento",IF(M429="",TODAY(),IF(TODAY()&lt;=M429+1,M429+1,EDATE(M429,6)-30)),IF(G429="Pós-venda",IF(J429="",TODAY(),J429+7),IF(G429="Perdido",IF(J429="",TODAY(),J429+60),""))))))))</f>
        <v/>
      </c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13" t="str">
        <f aca="false">IF(OR(E430="",E430="A completar",E430="Ainda não sabe"),"",IF(OR(E430="Limpeza de pele",E430="Peeling de diamante",E430="Microagulhamento"),"Rosto","Corpo"))</f>
        <v/>
      </c>
      <c r="G430" s="12"/>
      <c r="H430" s="12"/>
      <c r="I430" s="12"/>
      <c r="J430" s="14"/>
      <c r="K430" s="12"/>
      <c r="L430" s="14"/>
      <c r="M430" s="14"/>
      <c r="N430" s="12"/>
      <c r="O430" s="12"/>
      <c r="P430" s="15" t="str">
        <f aca="false">IF(M430="","",EDATE(M430,6))</f>
        <v/>
      </c>
      <c r="Q430" s="15" t="str">
        <f aca="false">IF(W430="","",IF(WEEKDAY(W430)=1,W430+1,W430))</f>
        <v/>
      </c>
      <c r="R430" s="13" t="str">
        <f aca="true">IF(Q430="","",IF(AND(N(K430)&gt;=3,G430&lt;&gt;"Perdido"),"Mover para Perdido",IF(Q430&lt;TODAY(),"Atrasado",IF(Q430=TODAY(),"Hoje","No prazo"))))</f>
        <v/>
      </c>
      <c r="S430" s="12"/>
      <c r="T430" s="12"/>
      <c r="U430" s="12"/>
      <c r="V430" s="7"/>
      <c r="W430" s="15" t="str">
        <f aca="true">IF(G430="","",IF(OR(G430="Novo contato",G430="Em conversa"),IF(J430="",TODAY(),J430+1),IF(G430="Avaliação marcada",IF(L430="",TODAY(),L430-1),IF(G430="Proposta enviada",IF(J430="",TODAY(),J430+2),IF(G430="Fechou pacote",IF(J430="",TODAY(),J430+7),IF(G430="Em tratamento",IF(M430="",TODAY(),IF(TODAY()&lt;=M430+1,M430+1,EDATE(M430,6)-30)),IF(G430="Pós-venda",IF(J430="",TODAY(),J430+7),IF(G430="Perdido",IF(J430="",TODAY(),J430+60),""))))))))</f>
        <v/>
      </c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13" t="str">
        <f aca="false">IF(OR(E431="",E431="A completar",E431="Ainda não sabe"),"",IF(OR(E431="Limpeza de pele",E431="Peeling de diamante",E431="Microagulhamento"),"Rosto","Corpo"))</f>
        <v/>
      </c>
      <c r="G431" s="12"/>
      <c r="H431" s="12"/>
      <c r="I431" s="12"/>
      <c r="J431" s="14"/>
      <c r="K431" s="12"/>
      <c r="L431" s="14"/>
      <c r="M431" s="14"/>
      <c r="N431" s="12"/>
      <c r="O431" s="12"/>
      <c r="P431" s="15" t="str">
        <f aca="false">IF(M431="","",EDATE(M431,6))</f>
        <v/>
      </c>
      <c r="Q431" s="15" t="str">
        <f aca="false">IF(W431="","",IF(WEEKDAY(W431)=1,W431+1,W431))</f>
        <v/>
      </c>
      <c r="R431" s="13" t="str">
        <f aca="true">IF(Q431="","",IF(AND(N(K431)&gt;=3,G431&lt;&gt;"Perdido"),"Mover para Perdido",IF(Q431&lt;TODAY(),"Atrasado",IF(Q431=TODAY(),"Hoje","No prazo"))))</f>
        <v/>
      </c>
      <c r="S431" s="12"/>
      <c r="T431" s="12"/>
      <c r="U431" s="12"/>
      <c r="V431" s="7"/>
      <c r="W431" s="15" t="str">
        <f aca="true">IF(G431="","",IF(OR(G431="Novo contato",G431="Em conversa"),IF(J431="",TODAY(),J431+1),IF(G431="Avaliação marcada",IF(L431="",TODAY(),L431-1),IF(G431="Proposta enviada",IF(J431="",TODAY(),J431+2),IF(G431="Fechou pacote",IF(J431="",TODAY(),J431+7),IF(G431="Em tratamento",IF(M431="",TODAY(),IF(TODAY()&lt;=M431+1,M431+1,EDATE(M431,6)-30)),IF(G431="Pós-venda",IF(J431="",TODAY(),J431+7),IF(G431="Perdido",IF(J431="",TODAY(),J431+60),""))))))))</f>
        <v/>
      </c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13" t="str">
        <f aca="false">IF(OR(E432="",E432="A completar",E432="Ainda não sabe"),"",IF(OR(E432="Limpeza de pele",E432="Peeling de diamante",E432="Microagulhamento"),"Rosto","Corpo"))</f>
        <v/>
      </c>
      <c r="G432" s="12"/>
      <c r="H432" s="12"/>
      <c r="I432" s="12"/>
      <c r="J432" s="14"/>
      <c r="K432" s="12"/>
      <c r="L432" s="14"/>
      <c r="M432" s="14"/>
      <c r="N432" s="12"/>
      <c r="O432" s="12"/>
      <c r="P432" s="15" t="str">
        <f aca="false">IF(M432="","",EDATE(M432,6))</f>
        <v/>
      </c>
      <c r="Q432" s="15" t="str">
        <f aca="false">IF(W432="","",IF(WEEKDAY(W432)=1,W432+1,W432))</f>
        <v/>
      </c>
      <c r="R432" s="13" t="str">
        <f aca="true">IF(Q432="","",IF(AND(N(K432)&gt;=3,G432&lt;&gt;"Perdido"),"Mover para Perdido",IF(Q432&lt;TODAY(),"Atrasado",IF(Q432=TODAY(),"Hoje","No prazo"))))</f>
        <v/>
      </c>
      <c r="S432" s="12"/>
      <c r="T432" s="12"/>
      <c r="U432" s="12"/>
      <c r="V432" s="7"/>
      <c r="W432" s="15" t="str">
        <f aca="true">IF(G432="","",IF(OR(G432="Novo contato",G432="Em conversa"),IF(J432="",TODAY(),J432+1),IF(G432="Avaliação marcada",IF(L432="",TODAY(),L432-1),IF(G432="Proposta enviada",IF(J432="",TODAY(),J432+2),IF(G432="Fechou pacote",IF(J432="",TODAY(),J432+7),IF(G432="Em tratamento",IF(M432="",TODAY(),IF(TODAY()&lt;=M432+1,M432+1,EDATE(M432,6)-30)),IF(G432="Pós-venda",IF(J432="",TODAY(),J432+7),IF(G432="Perdido",IF(J432="",TODAY(),J432+60),""))))))))</f>
        <v/>
      </c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13" t="str">
        <f aca="false">IF(OR(E433="",E433="A completar",E433="Ainda não sabe"),"",IF(OR(E433="Limpeza de pele",E433="Peeling de diamante",E433="Microagulhamento"),"Rosto","Corpo"))</f>
        <v/>
      </c>
      <c r="G433" s="12"/>
      <c r="H433" s="12"/>
      <c r="I433" s="12"/>
      <c r="J433" s="14"/>
      <c r="K433" s="12"/>
      <c r="L433" s="14"/>
      <c r="M433" s="14"/>
      <c r="N433" s="12"/>
      <c r="O433" s="12"/>
      <c r="P433" s="15" t="str">
        <f aca="false">IF(M433="","",EDATE(M433,6))</f>
        <v/>
      </c>
      <c r="Q433" s="15" t="str">
        <f aca="false">IF(W433="","",IF(WEEKDAY(W433)=1,W433+1,W433))</f>
        <v/>
      </c>
      <c r="R433" s="13" t="str">
        <f aca="true">IF(Q433="","",IF(AND(N(K433)&gt;=3,G433&lt;&gt;"Perdido"),"Mover para Perdido",IF(Q433&lt;TODAY(),"Atrasado",IF(Q433=TODAY(),"Hoje","No prazo"))))</f>
        <v/>
      </c>
      <c r="S433" s="12"/>
      <c r="T433" s="12"/>
      <c r="U433" s="12"/>
      <c r="V433" s="7"/>
      <c r="W433" s="15" t="str">
        <f aca="true">IF(G433="","",IF(OR(G433="Novo contato",G433="Em conversa"),IF(J433="",TODAY(),J433+1),IF(G433="Avaliação marcada",IF(L433="",TODAY(),L433-1),IF(G433="Proposta enviada",IF(J433="",TODAY(),J433+2),IF(G433="Fechou pacote",IF(J433="",TODAY(),J433+7),IF(G433="Em tratamento",IF(M433="",TODAY(),IF(TODAY()&lt;=M433+1,M433+1,EDATE(M433,6)-30)),IF(G433="Pós-venda",IF(J433="",TODAY(),J433+7),IF(G433="Perdido",IF(J433="",TODAY(),J433+60),""))))))))</f>
        <v/>
      </c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13" t="str">
        <f aca="false">IF(OR(E434="",E434="A completar",E434="Ainda não sabe"),"",IF(OR(E434="Limpeza de pele",E434="Peeling de diamante",E434="Microagulhamento"),"Rosto","Corpo"))</f>
        <v/>
      </c>
      <c r="G434" s="12"/>
      <c r="H434" s="12"/>
      <c r="I434" s="12"/>
      <c r="J434" s="14"/>
      <c r="K434" s="12"/>
      <c r="L434" s="14"/>
      <c r="M434" s="14"/>
      <c r="N434" s="12"/>
      <c r="O434" s="12"/>
      <c r="P434" s="15" t="str">
        <f aca="false">IF(M434="","",EDATE(M434,6))</f>
        <v/>
      </c>
      <c r="Q434" s="15" t="str">
        <f aca="false">IF(W434="","",IF(WEEKDAY(W434)=1,W434+1,W434))</f>
        <v/>
      </c>
      <c r="R434" s="13" t="str">
        <f aca="true">IF(Q434="","",IF(AND(N(K434)&gt;=3,G434&lt;&gt;"Perdido"),"Mover para Perdido",IF(Q434&lt;TODAY(),"Atrasado",IF(Q434=TODAY(),"Hoje","No prazo"))))</f>
        <v/>
      </c>
      <c r="S434" s="12"/>
      <c r="T434" s="12"/>
      <c r="U434" s="12"/>
      <c r="V434" s="7"/>
      <c r="W434" s="15" t="str">
        <f aca="true">IF(G434="","",IF(OR(G434="Novo contato",G434="Em conversa"),IF(J434="",TODAY(),J434+1),IF(G434="Avaliação marcada",IF(L434="",TODAY(),L434-1),IF(G434="Proposta enviada",IF(J434="",TODAY(),J434+2),IF(G434="Fechou pacote",IF(J434="",TODAY(),J434+7),IF(G434="Em tratamento",IF(M434="",TODAY(),IF(TODAY()&lt;=M434+1,M434+1,EDATE(M434,6)-30)),IF(G434="Pós-venda",IF(J434="",TODAY(),J434+7),IF(G434="Perdido",IF(J434="",TODAY(),J434+60),""))))))))</f>
        <v/>
      </c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13" t="str">
        <f aca="false">IF(OR(E435="",E435="A completar",E435="Ainda não sabe"),"",IF(OR(E435="Limpeza de pele",E435="Peeling de diamante",E435="Microagulhamento"),"Rosto","Corpo"))</f>
        <v/>
      </c>
      <c r="G435" s="12"/>
      <c r="H435" s="12"/>
      <c r="I435" s="12"/>
      <c r="J435" s="14"/>
      <c r="K435" s="12"/>
      <c r="L435" s="14"/>
      <c r="M435" s="14"/>
      <c r="N435" s="12"/>
      <c r="O435" s="12"/>
      <c r="P435" s="15" t="str">
        <f aca="false">IF(M435="","",EDATE(M435,6))</f>
        <v/>
      </c>
      <c r="Q435" s="15" t="str">
        <f aca="false">IF(W435="","",IF(WEEKDAY(W435)=1,W435+1,W435))</f>
        <v/>
      </c>
      <c r="R435" s="13" t="str">
        <f aca="true">IF(Q435="","",IF(AND(N(K435)&gt;=3,G435&lt;&gt;"Perdido"),"Mover para Perdido",IF(Q435&lt;TODAY(),"Atrasado",IF(Q435=TODAY(),"Hoje","No prazo"))))</f>
        <v/>
      </c>
      <c r="S435" s="12"/>
      <c r="T435" s="12"/>
      <c r="U435" s="12"/>
      <c r="V435" s="7"/>
      <c r="W435" s="15" t="str">
        <f aca="true">IF(G435="","",IF(OR(G435="Novo contato",G435="Em conversa"),IF(J435="",TODAY(),J435+1),IF(G435="Avaliação marcada",IF(L435="",TODAY(),L435-1),IF(G435="Proposta enviada",IF(J435="",TODAY(),J435+2),IF(G435="Fechou pacote",IF(J435="",TODAY(),J435+7),IF(G435="Em tratamento",IF(M435="",TODAY(),IF(TODAY()&lt;=M435+1,M435+1,EDATE(M435,6)-30)),IF(G435="Pós-venda",IF(J435="",TODAY(),J435+7),IF(G435="Perdido",IF(J435="",TODAY(),J435+60),""))))))))</f>
        <v/>
      </c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13" t="str">
        <f aca="false">IF(OR(E436="",E436="A completar",E436="Ainda não sabe"),"",IF(OR(E436="Limpeza de pele",E436="Peeling de diamante",E436="Microagulhamento"),"Rosto","Corpo"))</f>
        <v/>
      </c>
      <c r="G436" s="12"/>
      <c r="H436" s="12"/>
      <c r="I436" s="12"/>
      <c r="J436" s="14"/>
      <c r="K436" s="12"/>
      <c r="L436" s="14"/>
      <c r="M436" s="14"/>
      <c r="N436" s="12"/>
      <c r="O436" s="12"/>
      <c r="P436" s="15" t="str">
        <f aca="false">IF(M436="","",EDATE(M436,6))</f>
        <v/>
      </c>
      <c r="Q436" s="15" t="str">
        <f aca="false">IF(W436="","",IF(WEEKDAY(W436)=1,W436+1,W436))</f>
        <v/>
      </c>
      <c r="R436" s="13" t="str">
        <f aca="true">IF(Q436="","",IF(AND(N(K436)&gt;=3,G436&lt;&gt;"Perdido"),"Mover para Perdido",IF(Q436&lt;TODAY(),"Atrasado",IF(Q436=TODAY(),"Hoje","No prazo"))))</f>
        <v/>
      </c>
      <c r="S436" s="12"/>
      <c r="T436" s="12"/>
      <c r="U436" s="12"/>
      <c r="V436" s="7"/>
      <c r="W436" s="15" t="str">
        <f aca="true">IF(G436="","",IF(OR(G436="Novo contato",G436="Em conversa"),IF(J436="",TODAY(),J436+1),IF(G436="Avaliação marcada",IF(L436="",TODAY(),L436-1),IF(G436="Proposta enviada",IF(J436="",TODAY(),J436+2),IF(G436="Fechou pacote",IF(J436="",TODAY(),J436+7),IF(G436="Em tratamento",IF(M436="",TODAY(),IF(TODAY()&lt;=M436+1,M436+1,EDATE(M436,6)-30)),IF(G436="Pós-venda",IF(J436="",TODAY(),J436+7),IF(G436="Perdido",IF(J436="",TODAY(),J436+60),""))))))))</f>
        <v/>
      </c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13" t="str">
        <f aca="false">IF(OR(E437="",E437="A completar",E437="Ainda não sabe"),"",IF(OR(E437="Limpeza de pele",E437="Peeling de diamante",E437="Microagulhamento"),"Rosto","Corpo"))</f>
        <v/>
      </c>
      <c r="G437" s="12"/>
      <c r="H437" s="12"/>
      <c r="I437" s="12"/>
      <c r="J437" s="14"/>
      <c r="K437" s="12"/>
      <c r="L437" s="14"/>
      <c r="M437" s="14"/>
      <c r="N437" s="12"/>
      <c r="O437" s="12"/>
      <c r="P437" s="15" t="str">
        <f aca="false">IF(M437="","",EDATE(M437,6))</f>
        <v/>
      </c>
      <c r="Q437" s="15" t="str">
        <f aca="false">IF(W437="","",IF(WEEKDAY(W437)=1,W437+1,W437))</f>
        <v/>
      </c>
      <c r="R437" s="13" t="str">
        <f aca="true">IF(Q437="","",IF(AND(N(K437)&gt;=3,G437&lt;&gt;"Perdido"),"Mover para Perdido",IF(Q437&lt;TODAY(),"Atrasado",IF(Q437=TODAY(),"Hoje","No prazo"))))</f>
        <v/>
      </c>
      <c r="S437" s="12"/>
      <c r="T437" s="12"/>
      <c r="U437" s="12"/>
      <c r="V437" s="7"/>
      <c r="W437" s="15" t="str">
        <f aca="true">IF(G437="","",IF(OR(G437="Novo contato",G437="Em conversa"),IF(J437="",TODAY(),J437+1),IF(G437="Avaliação marcada",IF(L437="",TODAY(),L437-1),IF(G437="Proposta enviada",IF(J437="",TODAY(),J437+2),IF(G437="Fechou pacote",IF(J437="",TODAY(),J437+7),IF(G437="Em tratamento",IF(M437="",TODAY(),IF(TODAY()&lt;=M437+1,M437+1,EDATE(M437,6)-30)),IF(G437="Pós-venda",IF(J437="",TODAY(),J437+7),IF(G437="Perdido",IF(J437="",TODAY(),J437+60),""))))))))</f>
        <v/>
      </c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13" t="str">
        <f aca="false">IF(OR(E438="",E438="A completar",E438="Ainda não sabe"),"",IF(OR(E438="Limpeza de pele",E438="Peeling de diamante",E438="Microagulhamento"),"Rosto","Corpo"))</f>
        <v/>
      </c>
      <c r="G438" s="12"/>
      <c r="H438" s="12"/>
      <c r="I438" s="12"/>
      <c r="J438" s="14"/>
      <c r="K438" s="12"/>
      <c r="L438" s="14"/>
      <c r="M438" s="14"/>
      <c r="N438" s="12"/>
      <c r="O438" s="12"/>
      <c r="P438" s="15" t="str">
        <f aca="false">IF(M438="","",EDATE(M438,6))</f>
        <v/>
      </c>
      <c r="Q438" s="15" t="str">
        <f aca="false">IF(W438="","",IF(WEEKDAY(W438)=1,W438+1,W438))</f>
        <v/>
      </c>
      <c r="R438" s="13" t="str">
        <f aca="true">IF(Q438="","",IF(AND(N(K438)&gt;=3,G438&lt;&gt;"Perdido"),"Mover para Perdido",IF(Q438&lt;TODAY(),"Atrasado",IF(Q438=TODAY(),"Hoje","No prazo"))))</f>
        <v/>
      </c>
      <c r="S438" s="12"/>
      <c r="T438" s="12"/>
      <c r="U438" s="12"/>
      <c r="V438" s="7"/>
      <c r="W438" s="15" t="str">
        <f aca="true">IF(G438="","",IF(OR(G438="Novo contato",G438="Em conversa"),IF(J438="",TODAY(),J438+1),IF(G438="Avaliação marcada",IF(L438="",TODAY(),L438-1),IF(G438="Proposta enviada",IF(J438="",TODAY(),J438+2),IF(G438="Fechou pacote",IF(J438="",TODAY(),J438+7),IF(G438="Em tratamento",IF(M438="",TODAY(),IF(TODAY()&lt;=M438+1,M438+1,EDATE(M438,6)-30)),IF(G438="Pós-venda",IF(J438="",TODAY(),J438+7),IF(G438="Perdido",IF(J438="",TODAY(),J438+60),""))))))))</f>
        <v/>
      </c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13" t="str">
        <f aca="false">IF(OR(E439="",E439="A completar",E439="Ainda não sabe"),"",IF(OR(E439="Limpeza de pele",E439="Peeling de diamante",E439="Microagulhamento"),"Rosto","Corpo"))</f>
        <v/>
      </c>
      <c r="G439" s="12"/>
      <c r="H439" s="12"/>
      <c r="I439" s="12"/>
      <c r="J439" s="14"/>
      <c r="K439" s="12"/>
      <c r="L439" s="14"/>
      <c r="M439" s="14"/>
      <c r="N439" s="12"/>
      <c r="O439" s="12"/>
      <c r="P439" s="15" t="str">
        <f aca="false">IF(M439="","",EDATE(M439,6))</f>
        <v/>
      </c>
      <c r="Q439" s="15" t="str">
        <f aca="false">IF(W439="","",IF(WEEKDAY(W439)=1,W439+1,W439))</f>
        <v/>
      </c>
      <c r="R439" s="13" t="str">
        <f aca="true">IF(Q439="","",IF(AND(N(K439)&gt;=3,G439&lt;&gt;"Perdido"),"Mover para Perdido",IF(Q439&lt;TODAY(),"Atrasado",IF(Q439=TODAY(),"Hoje","No prazo"))))</f>
        <v/>
      </c>
      <c r="S439" s="12"/>
      <c r="T439" s="12"/>
      <c r="U439" s="12"/>
      <c r="V439" s="7"/>
      <c r="W439" s="15" t="str">
        <f aca="true">IF(G439="","",IF(OR(G439="Novo contato",G439="Em conversa"),IF(J439="",TODAY(),J439+1),IF(G439="Avaliação marcada",IF(L439="",TODAY(),L439-1),IF(G439="Proposta enviada",IF(J439="",TODAY(),J439+2),IF(G439="Fechou pacote",IF(J439="",TODAY(),J439+7),IF(G439="Em tratamento",IF(M439="",TODAY(),IF(TODAY()&lt;=M439+1,M439+1,EDATE(M439,6)-30)),IF(G439="Pós-venda",IF(J439="",TODAY(),J439+7),IF(G439="Perdido",IF(J439="",TODAY(),J439+60),""))))))))</f>
        <v/>
      </c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13" t="str">
        <f aca="false">IF(OR(E440="",E440="A completar",E440="Ainda não sabe"),"",IF(OR(E440="Limpeza de pele",E440="Peeling de diamante",E440="Microagulhamento"),"Rosto","Corpo"))</f>
        <v/>
      </c>
      <c r="G440" s="12"/>
      <c r="H440" s="12"/>
      <c r="I440" s="12"/>
      <c r="J440" s="14"/>
      <c r="K440" s="12"/>
      <c r="L440" s="14"/>
      <c r="M440" s="14"/>
      <c r="N440" s="12"/>
      <c r="O440" s="12"/>
      <c r="P440" s="15" t="str">
        <f aca="false">IF(M440="","",EDATE(M440,6))</f>
        <v/>
      </c>
      <c r="Q440" s="15" t="str">
        <f aca="false">IF(W440="","",IF(WEEKDAY(W440)=1,W440+1,W440))</f>
        <v/>
      </c>
      <c r="R440" s="13" t="str">
        <f aca="true">IF(Q440="","",IF(AND(N(K440)&gt;=3,G440&lt;&gt;"Perdido"),"Mover para Perdido",IF(Q440&lt;TODAY(),"Atrasado",IF(Q440=TODAY(),"Hoje","No prazo"))))</f>
        <v/>
      </c>
      <c r="S440" s="12"/>
      <c r="T440" s="12"/>
      <c r="U440" s="12"/>
      <c r="V440" s="7"/>
      <c r="W440" s="15" t="str">
        <f aca="true">IF(G440="","",IF(OR(G440="Novo contato",G440="Em conversa"),IF(J440="",TODAY(),J440+1),IF(G440="Avaliação marcada",IF(L440="",TODAY(),L440-1),IF(G440="Proposta enviada",IF(J440="",TODAY(),J440+2),IF(G440="Fechou pacote",IF(J440="",TODAY(),J440+7),IF(G440="Em tratamento",IF(M440="",TODAY(),IF(TODAY()&lt;=M440+1,M440+1,EDATE(M440,6)-30)),IF(G440="Pós-venda",IF(J440="",TODAY(),J440+7),IF(G440="Perdido",IF(J440="",TODAY(),J440+60),""))))))))</f>
        <v/>
      </c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13" t="str">
        <f aca="false">IF(OR(E441="",E441="A completar",E441="Ainda não sabe"),"",IF(OR(E441="Limpeza de pele",E441="Peeling de diamante",E441="Microagulhamento"),"Rosto","Corpo"))</f>
        <v/>
      </c>
      <c r="G441" s="12"/>
      <c r="H441" s="12"/>
      <c r="I441" s="12"/>
      <c r="J441" s="14"/>
      <c r="K441" s="12"/>
      <c r="L441" s="14"/>
      <c r="M441" s="14"/>
      <c r="N441" s="12"/>
      <c r="O441" s="12"/>
      <c r="P441" s="15" t="str">
        <f aca="false">IF(M441="","",EDATE(M441,6))</f>
        <v/>
      </c>
      <c r="Q441" s="15" t="str">
        <f aca="false">IF(W441="","",IF(WEEKDAY(W441)=1,W441+1,W441))</f>
        <v/>
      </c>
      <c r="R441" s="13" t="str">
        <f aca="true">IF(Q441="","",IF(AND(N(K441)&gt;=3,G441&lt;&gt;"Perdido"),"Mover para Perdido",IF(Q441&lt;TODAY(),"Atrasado",IF(Q441=TODAY(),"Hoje","No prazo"))))</f>
        <v/>
      </c>
      <c r="S441" s="12"/>
      <c r="T441" s="12"/>
      <c r="U441" s="12"/>
      <c r="V441" s="7"/>
      <c r="W441" s="15" t="str">
        <f aca="true">IF(G441="","",IF(OR(G441="Novo contato",G441="Em conversa"),IF(J441="",TODAY(),J441+1),IF(G441="Avaliação marcada",IF(L441="",TODAY(),L441-1),IF(G441="Proposta enviada",IF(J441="",TODAY(),J441+2),IF(G441="Fechou pacote",IF(J441="",TODAY(),J441+7),IF(G441="Em tratamento",IF(M441="",TODAY(),IF(TODAY()&lt;=M441+1,M441+1,EDATE(M441,6)-30)),IF(G441="Pós-venda",IF(J441="",TODAY(),J441+7),IF(G441="Perdido",IF(J441="",TODAY(),J441+60),""))))))))</f>
        <v/>
      </c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13" t="str">
        <f aca="false">IF(OR(E442="",E442="A completar",E442="Ainda não sabe"),"",IF(OR(E442="Limpeza de pele",E442="Peeling de diamante",E442="Microagulhamento"),"Rosto","Corpo"))</f>
        <v/>
      </c>
      <c r="G442" s="12"/>
      <c r="H442" s="12"/>
      <c r="I442" s="12"/>
      <c r="J442" s="14"/>
      <c r="K442" s="12"/>
      <c r="L442" s="14"/>
      <c r="M442" s="14"/>
      <c r="N442" s="12"/>
      <c r="O442" s="12"/>
      <c r="P442" s="15" t="str">
        <f aca="false">IF(M442="","",EDATE(M442,6))</f>
        <v/>
      </c>
      <c r="Q442" s="15" t="str">
        <f aca="false">IF(W442="","",IF(WEEKDAY(W442)=1,W442+1,W442))</f>
        <v/>
      </c>
      <c r="R442" s="13" t="str">
        <f aca="true">IF(Q442="","",IF(AND(N(K442)&gt;=3,G442&lt;&gt;"Perdido"),"Mover para Perdido",IF(Q442&lt;TODAY(),"Atrasado",IF(Q442=TODAY(),"Hoje","No prazo"))))</f>
        <v/>
      </c>
      <c r="S442" s="12"/>
      <c r="T442" s="12"/>
      <c r="U442" s="12"/>
      <c r="V442" s="7"/>
      <c r="W442" s="15" t="str">
        <f aca="true">IF(G442="","",IF(OR(G442="Novo contato",G442="Em conversa"),IF(J442="",TODAY(),J442+1),IF(G442="Avaliação marcada",IF(L442="",TODAY(),L442-1),IF(G442="Proposta enviada",IF(J442="",TODAY(),J442+2),IF(G442="Fechou pacote",IF(J442="",TODAY(),J442+7),IF(G442="Em tratamento",IF(M442="",TODAY(),IF(TODAY()&lt;=M442+1,M442+1,EDATE(M442,6)-30)),IF(G442="Pós-venda",IF(J442="",TODAY(),J442+7),IF(G442="Perdido",IF(J442="",TODAY(),J442+60),""))))))))</f>
        <v/>
      </c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13" t="str">
        <f aca="false">IF(OR(E443="",E443="A completar",E443="Ainda não sabe"),"",IF(OR(E443="Limpeza de pele",E443="Peeling de diamante",E443="Microagulhamento"),"Rosto","Corpo"))</f>
        <v/>
      </c>
      <c r="G443" s="12"/>
      <c r="H443" s="12"/>
      <c r="I443" s="12"/>
      <c r="J443" s="14"/>
      <c r="K443" s="12"/>
      <c r="L443" s="14"/>
      <c r="M443" s="14"/>
      <c r="N443" s="12"/>
      <c r="O443" s="12"/>
      <c r="P443" s="15" t="str">
        <f aca="false">IF(M443="","",EDATE(M443,6))</f>
        <v/>
      </c>
      <c r="Q443" s="15" t="str">
        <f aca="false">IF(W443="","",IF(WEEKDAY(W443)=1,W443+1,W443))</f>
        <v/>
      </c>
      <c r="R443" s="13" t="str">
        <f aca="true">IF(Q443="","",IF(AND(N(K443)&gt;=3,G443&lt;&gt;"Perdido"),"Mover para Perdido",IF(Q443&lt;TODAY(),"Atrasado",IF(Q443=TODAY(),"Hoje","No prazo"))))</f>
        <v/>
      </c>
      <c r="S443" s="12"/>
      <c r="T443" s="12"/>
      <c r="U443" s="12"/>
      <c r="V443" s="7"/>
      <c r="W443" s="15" t="str">
        <f aca="true">IF(G443="","",IF(OR(G443="Novo contato",G443="Em conversa"),IF(J443="",TODAY(),J443+1),IF(G443="Avaliação marcada",IF(L443="",TODAY(),L443-1),IF(G443="Proposta enviada",IF(J443="",TODAY(),J443+2),IF(G443="Fechou pacote",IF(J443="",TODAY(),J443+7),IF(G443="Em tratamento",IF(M443="",TODAY(),IF(TODAY()&lt;=M443+1,M443+1,EDATE(M443,6)-30)),IF(G443="Pós-venda",IF(J443="",TODAY(),J443+7),IF(G443="Perdido",IF(J443="",TODAY(),J443+60),""))))))))</f>
        <v/>
      </c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13" t="str">
        <f aca="false">IF(OR(E444="",E444="A completar",E444="Ainda não sabe"),"",IF(OR(E444="Limpeza de pele",E444="Peeling de diamante",E444="Microagulhamento"),"Rosto","Corpo"))</f>
        <v/>
      </c>
      <c r="G444" s="12"/>
      <c r="H444" s="12"/>
      <c r="I444" s="12"/>
      <c r="J444" s="14"/>
      <c r="K444" s="12"/>
      <c r="L444" s="14"/>
      <c r="M444" s="14"/>
      <c r="N444" s="12"/>
      <c r="O444" s="12"/>
      <c r="P444" s="15" t="str">
        <f aca="false">IF(M444="","",EDATE(M444,6))</f>
        <v/>
      </c>
      <c r="Q444" s="15" t="str">
        <f aca="false">IF(W444="","",IF(WEEKDAY(W444)=1,W444+1,W444))</f>
        <v/>
      </c>
      <c r="R444" s="13" t="str">
        <f aca="true">IF(Q444="","",IF(AND(N(K444)&gt;=3,G444&lt;&gt;"Perdido"),"Mover para Perdido",IF(Q444&lt;TODAY(),"Atrasado",IF(Q444=TODAY(),"Hoje","No prazo"))))</f>
        <v/>
      </c>
      <c r="S444" s="12"/>
      <c r="T444" s="12"/>
      <c r="U444" s="12"/>
      <c r="V444" s="7"/>
      <c r="W444" s="15" t="str">
        <f aca="true">IF(G444="","",IF(OR(G444="Novo contato",G444="Em conversa"),IF(J444="",TODAY(),J444+1),IF(G444="Avaliação marcada",IF(L444="",TODAY(),L444-1),IF(G444="Proposta enviada",IF(J444="",TODAY(),J444+2),IF(G444="Fechou pacote",IF(J444="",TODAY(),J444+7),IF(G444="Em tratamento",IF(M444="",TODAY(),IF(TODAY()&lt;=M444+1,M444+1,EDATE(M444,6)-30)),IF(G444="Pós-venda",IF(J444="",TODAY(),J444+7),IF(G444="Perdido",IF(J444="",TODAY(),J444+60),""))))))))</f>
        <v/>
      </c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13" t="str">
        <f aca="false">IF(OR(E445="",E445="A completar",E445="Ainda não sabe"),"",IF(OR(E445="Limpeza de pele",E445="Peeling de diamante",E445="Microagulhamento"),"Rosto","Corpo"))</f>
        <v/>
      </c>
      <c r="G445" s="12"/>
      <c r="H445" s="12"/>
      <c r="I445" s="12"/>
      <c r="J445" s="14"/>
      <c r="K445" s="12"/>
      <c r="L445" s="14"/>
      <c r="M445" s="14"/>
      <c r="N445" s="12"/>
      <c r="O445" s="12"/>
      <c r="P445" s="15" t="str">
        <f aca="false">IF(M445="","",EDATE(M445,6))</f>
        <v/>
      </c>
      <c r="Q445" s="15" t="str">
        <f aca="false">IF(W445="","",IF(WEEKDAY(W445)=1,W445+1,W445))</f>
        <v/>
      </c>
      <c r="R445" s="13" t="str">
        <f aca="true">IF(Q445="","",IF(AND(N(K445)&gt;=3,G445&lt;&gt;"Perdido"),"Mover para Perdido",IF(Q445&lt;TODAY(),"Atrasado",IF(Q445=TODAY(),"Hoje","No prazo"))))</f>
        <v/>
      </c>
      <c r="S445" s="12"/>
      <c r="T445" s="12"/>
      <c r="U445" s="12"/>
      <c r="V445" s="7"/>
      <c r="W445" s="15" t="str">
        <f aca="true">IF(G445="","",IF(OR(G445="Novo contato",G445="Em conversa"),IF(J445="",TODAY(),J445+1),IF(G445="Avaliação marcada",IF(L445="",TODAY(),L445-1),IF(G445="Proposta enviada",IF(J445="",TODAY(),J445+2),IF(G445="Fechou pacote",IF(J445="",TODAY(),J445+7),IF(G445="Em tratamento",IF(M445="",TODAY(),IF(TODAY()&lt;=M445+1,M445+1,EDATE(M445,6)-30)),IF(G445="Pós-venda",IF(J445="",TODAY(),J445+7),IF(G445="Perdido",IF(J445="",TODAY(),J445+60),""))))))))</f>
        <v/>
      </c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13" t="str">
        <f aca="false">IF(OR(E446="",E446="A completar",E446="Ainda não sabe"),"",IF(OR(E446="Limpeza de pele",E446="Peeling de diamante",E446="Microagulhamento"),"Rosto","Corpo"))</f>
        <v/>
      </c>
      <c r="G446" s="12"/>
      <c r="H446" s="12"/>
      <c r="I446" s="12"/>
      <c r="J446" s="14"/>
      <c r="K446" s="12"/>
      <c r="L446" s="14"/>
      <c r="M446" s="14"/>
      <c r="N446" s="12"/>
      <c r="O446" s="12"/>
      <c r="P446" s="15" t="str">
        <f aca="false">IF(M446="","",EDATE(M446,6))</f>
        <v/>
      </c>
      <c r="Q446" s="15" t="str">
        <f aca="false">IF(W446="","",IF(WEEKDAY(W446)=1,W446+1,W446))</f>
        <v/>
      </c>
      <c r="R446" s="13" t="str">
        <f aca="true">IF(Q446="","",IF(AND(N(K446)&gt;=3,G446&lt;&gt;"Perdido"),"Mover para Perdido",IF(Q446&lt;TODAY(),"Atrasado",IF(Q446=TODAY(),"Hoje","No prazo"))))</f>
        <v/>
      </c>
      <c r="S446" s="12"/>
      <c r="T446" s="12"/>
      <c r="U446" s="12"/>
      <c r="V446" s="7"/>
      <c r="W446" s="15" t="str">
        <f aca="true">IF(G446="","",IF(OR(G446="Novo contato",G446="Em conversa"),IF(J446="",TODAY(),J446+1),IF(G446="Avaliação marcada",IF(L446="",TODAY(),L446-1),IF(G446="Proposta enviada",IF(J446="",TODAY(),J446+2),IF(G446="Fechou pacote",IF(J446="",TODAY(),J446+7),IF(G446="Em tratamento",IF(M446="",TODAY(),IF(TODAY()&lt;=M446+1,M446+1,EDATE(M446,6)-30)),IF(G446="Pós-venda",IF(J446="",TODAY(),J446+7),IF(G446="Perdido",IF(J446="",TODAY(),J446+60),""))))))))</f>
        <v/>
      </c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13" t="str">
        <f aca="false">IF(OR(E447="",E447="A completar",E447="Ainda não sabe"),"",IF(OR(E447="Limpeza de pele",E447="Peeling de diamante",E447="Microagulhamento"),"Rosto","Corpo"))</f>
        <v/>
      </c>
      <c r="G447" s="12"/>
      <c r="H447" s="12"/>
      <c r="I447" s="12"/>
      <c r="J447" s="14"/>
      <c r="K447" s="12"/>
      <c r="L447" s="14"/>
      <c r="M447" s="14"/>
      <c r="N447" s="12"/>
      <c r="O447" s="12"/>
      <c r="P447" s="15" t="str">
        <f aca="false">IF(M447="","",EDATE(M447,6))</f>
        <v/>
      </c>
      <c r="Q447" s="15" t="str">
        <f aca="false">IF(W447="","",IF(WEEKDAY(W447)=1,W447+1,W447))</f>
        <v/>
      </c>
      <c r="R447" s="13" t="str">
        <f aca="true">IF(Q447="","",IF(AND(N(K447)&gt;=3,G447&lt;&gt;"Perdido"),"Mover para Perdido",IF(Q447&lt;TODAY(),"Atrasado",IF(Q447=TODAY(),"Hoje","No prazo"))))</f>
        <v/>
      </c>
      <c r="S447" s="12"/>
      <c r="T447" s="12"/>
      <c r="U447" s="12"/>
      <c r="V447" s="7"/>
      <c r="W447" s="15" t="str">
        <f aca="true">IF(G447="","",IF(OR(G447="Novo contato",G447="Em conversa"),IF(J447="",TODAY(),J447+1),IF(G447="Avaliação marcada",IF(L447="",TODAY(),L447-1),IF(G447="Proposta enviada",IF(J447="",TODAY(),J447+2),IF(G447="Fechou pacote",IF(J447="",TODAY(),J447+7),IF(G447="Em tratamento",IF(M447="",TODAY(),IF(TODAY()&lt;=M447+1,M447+1,EDATE(M447,6)-30)),IF(G447="Pós-venda",IF(J447="",TODAY(),J447+7),IF(G447="Perdido",IF(J447="",TODAY(),J447+60),""))))))))</f>
        <v/>
      </c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13" t="str">
        <f aca="false">IF(OR(E448="",E448="A completar",E448="Ainda não sabe"),"",IF(OR(E448="Limpeza de pele",E448="Peeling de diamante",E448="Microagulhamento"),"Rosto","Corpo"))</f>
        <v/>
      </c>
      <c r="G448" s="12"/>
      <c r="H448" s="12"/>
      <c r="I448" s="12"/>
      <c r="J448" s="14"/>
      <c r="K448" s="12"/>
      <c r="L448" s="14"/>
      <c r="M448" s="14"/>
      <c r="N448" s="12"/>
      <c r="O448" s="12"/>
      <c r="P448" s="15" t="str">
        <f aca="false">IF(M448="","",EDATE(M448,6))</f>
        <v/>
      </c>
      <c r="Q448" s="15" t="str">
        <f aca="false">IF(W448="","",IF(WEEKDAY(W448)=1,W448+1,W448))</f>
        <v/>
      </c>
      <c r="R448" s="13" t="str">
        <f aca="true">IF(Q448="","",IF(AND(N(K448)&gt;=3,G448&lt;&gt;"Perdido"),"Mover para Perdido",IF(Q448&lt;TODAY(),"Atrasado",IF(Q448=TODAY(),"Hoje","No prazo"))))</f>
        <v/>
      </c>
      <c r="S448" s="12"/>
      <c r="T448" s="12"/>
      <c r="U448" s="12"/>
      <c r="V448" s="7"/>
      <c r="W448" s="15" t="str">
        <f aca="true">IF(G448="","",IF(OR(G448="Novo contato",G448="Em conversa"),IF(J448="",TODAY(),J448+1),IF(G448="Avaliação marcada",IF(L448="",TODAY(),L448-1),IF(G448="Proposta enviada",IF(J448="",TODAY(),J448+2),IF(G448="Fechou pacote",IF(J448="",TODAY(),J448+7),IF(G448="Em tratamento",IF(M448="",TODAY(),IF(TODAY()&lt;=M448+1,M448+1,EDATE(M448,6)-30)),IF(G448="Pós-venda",IF(J448="",TODAY(),J448+7),IF(G448="Perdido",IF(J448="",TODAY(),J448+60),""))))))))</f>
        <v/>
      </c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13" t="str">
        <f aca="false">IF(OR(E449="",E449="A completar",E449="Ainda não sabe"),"",IF(OR(E449="Limpeza de pele",E449="Peeling de diamante",E449="Microagulhamento"),"Rosto","Corpo"))</f>
        <v/>
      </c>
      <c r="G449" s="12"/>
      <c r="H449" s="12"/>
      <c r="I449" s="12"/>
      <c r="J449" s="14"/>
      <c r="K449" s="12"/>
      <c r="L449" s="14"/>
      <c r="M449" s="14"/>
      <c r="N449" s="12"/>
      <c r="O449" s="12"/>
      <c r="P449" s="15" t="str">
        <f aca="false">IF(M449="","",EDATE(M449,6))</f>
        <v/>
      </c>
      <c r="Q449" s="15" t="str">
        <f aca="false">IF(W449="","",IF(WEEKDAY(W449)=1,W449+1,W449))</f>
        <v/>
      </c>
      <c r="R449" s="13" t="str">
        <f aca="true">IF(Q449="","",IF(AND(N(K449)&gt;=3,G449&lt;&gt;"Perdido"),"Mover para Perdido",IF(Q449&lt;TODAY(),"Atrasado",IF(Q449=TODAY(),"Hoje","No prazo"))))</f>
        <v/>
      </c>
      <c r="S449" s="12"/>
      <c r="T449" s="12"/>
      <c r="U449" s="12"/>
      <c r="V449" s="7"/>
      <c r="W449" s="15" t="str">
        <f aca="true">IF(G449="","",IF(OR(G449="Novo contato",G449="Em conversa"),IF(J449="",TODAY(),J449+1),IF(G449="Avaliação marcada",IF(L449="",TODAY(),L449-1),IF(G449="Proposta enviada",IF(J449="",TODAY(),J449+2),IF(G449="Fechou pacote",IF(J449="",TODAY(),J449+7),IF(G449="Em tratamento",IF(M449="",TODAY(),IF(TODAY()&lt;=M449+1,M449+1,EDATE(M449,6)-30)),IF(G449="Pós-venda",IF(J449="",TODAY(),J449+7),IF(G449="Perdido",IF(J449="",TODAY(),J449+60),""))))))))</f>
        <v/>
      </c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13" t="str">
        <f aca="false">IF(OR(E450="",E450="A completar",E450="Ainda não sabe"),"",IF(OR(E450="Limpeza de pele",E450="Peeling de diamante",E450="Microagulhamento"),"Rosto","Corpo"))</f>
        <v/>
      </c>
      <c r="G450" s="12"/>
      <c r="H450" s="12"/>
      <c r="I450" s="12"/>
      <c r="J450" s="14"/>
      <c r="K450" s="12"/>
      <c r="L450" s="14"/>
      <c r="M450" s="14"/>
      <c r="N450" s="12"/>
      <c r="O450" s="12"/>
      <c r="P450" s="15" t="str">
        <f aca="false">IF(M450="","",EDATE(M450,6))</f>
        <v/>
      </c>
      <c r="Q450" s="15" t="str">
        <f aca="false">IF(W450="","",IF(WEEKDAY(W450)=1,W450+1,W450))</f>
        <v/>
      </c>
      <c r="R450" s="13" t="str">
        <f aca="true">IF(Q450="","",IF(AND(N(K450)&gt;=3,G450&lt;&gt;"Perdido"),"Mover para Perdido",IF(Q450&lt;TODAY(),"Atrasado",IF(Q450=TODAY(),"Hoje","No prazo"))))</f>
        <v/>
      </c>
      <c r="S450" s="12"/>
      <c r="T450" s="12"/>
      <c r="U450" s="12"/>
      <c r="V450" s="7"/>
      <c r="W450" s="15" t="str">
        <f aca="true">IF(G450="","",IF(OR(G450="Novo contato",G450="Em conversa"),IF(J450="",TODAY(),J450+1),IF(G450="Avaliação marcada",IF(L450="",TODAY(),L450-1),IF(G450="Proposta enviada",IF(J450="",TODAY(),J450+2),IF(G450="Fechou pacote",IF(J450="",TODAY(),J450+7),IF(G450="Em tratamento",IF(M450="",TODAY(),IF(TODAY()&lt;=M450+1,M450+1,EDATE(M450,6)-30)),IF(G450="Pós-venda",IF(J450="",TODAY(),J450+7),IF(G450="Perdido",IF(J450="",TODAY(),J450+60),""))))))))</f>
        <v/>
      </c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13" t="str">
        <f aca="false">IF(OR(E451="",E451="A completar",E451="Ainda não sabe"),"",IF(OR(E451="Limpeza de pele",E451="Peeling de diamante",E451="Microagulhamento"),"Rosto","Corpo"))</f>
        <v/>
      </c>
      <c r="G451" s="12"/>
      <c r="H451" s="12"/>
      <c r="I451" s="12"/>
      <c r="J451" s="14"/>
      <c r="K451" s="12"/>
      <c r="L451" s="14"/>
      <c r="M451" s="14"/>
      <c r="N451" s="12"/>
      <c r="O451" s="12"/>
      <c r="P451" s="15" t="str">
        <f aca="false">IF(M451="","",EDATE(M451,6))</f>
        <v/>
      </c>
      <c r="Q451" s="15" t="str">
        <f aca="false">IF(W451="","",IF(WEEKDAY(W451)=1,W451+1,W451))</f>
        <v/>
      </c>
      <c r="R451" s="13" t="str">
        <f aca="true">IF(Q451="","",IF(AND(N(K451)&gt;=3,G451&lt;&gt;"Perdido"),"Mover para Perdido",IF(Q451&lt;TODAY(),"Atrasado",IF(Q451=TODAY(),"Hoje","No prazo"))))</f>
        <v/>
      </c>
      <c r="S451" s="12"/>
      <c r="T451" s="12"/>
      <c r="U451" s="12"/>
      <c r="V451" s="7"/>
      <c r="W451" s="15" t="str">
        <f aca="true">IF(G451="","",IF(OR(G451="Novo contato",G451="Em conversa"),IF(J451="",TODAY(),J451+1),IF(G451="Avaliação marcada",IF(L451="",TODAY(),L451-1),IF(G451="Proposta enviada",IF(J451="",TODAY(),J451+2),IF(G451="Fechou pacote",IF(J451="",TODAY(),J451+7),IF(G451="Em tratamento",IF(M451="",TODAY(),IF(TODAY()&lt;=M451+1,M451+1,EDATE(M451,6)-30)),IF(G451="Pós-venda",IF(J451="",TODAY(),J451+7),IF(G451="Perdido",IF(J451="",TODAY(),J451+60),""))))))))</f>
        <v/>
      </c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13" t="str">
        <f aca="false">IF(OR(E452="",E452="A completar",E452="Ainda não sabe"),"",IF(OR(E452="Limpeza de pele",E452="Peeling de diamante",E452="Microagulhamento"),"Rosto","Corpo"))</f>
        <v/>
      </c>
      <c r="G452" s="12"/>
      <c r="H452" s="12"/>
      <c r="I452" s="12"/>
      <c r="J452" s="14"/>
      <c r="K452" s="12"/>
      <c r="L452" s="14"/>
      <c r="M452" s="14"/>
      <c r="N452" s="12"/>
      <c r="O452" s="12"/>
      <c r="P452" s="15" t="str">
        <f aca="false">IF(M452="","",EDATE(M452,6))</f>
        <v/>
      </c>
      <c r="Q452" s="15" t="str">
        <f aca="false">IF(W452="","",IF(WEEKDAY(W452)=1,W452+1,W452))</f>
        <v/>
      </c>
      <c r="R452" s="13" t="str">
        <f aca="true">IF(Q452="","",IF(AND(N(K452)&gt;=3,G452&lt;&gt;"Perdido"),"Mover para Perdido",IF(Q452&lt;TODAY(),"Atrasado",IF(Q452=TODAY(),"Hoje","No prazo"))))</f>
        <v/>
      </c>
      <c r="S452" s="12"/>
      <c r="T452" s="12"/>
      <c r="U452" s="12"/>
      <c r="V452" s="7"/>
      <c r="W452" s="15" t="str">
        <f aca="true">IF(G452="","",IF(OR(G452="Novo contato",G452="Em conversa"),IF(J452="",TODAY(),J452+1),IF(G452="Avaliação marcada",IF(L452="",TODAY(),L452-1),IF(G452="Proposta enviada",IF(J452="",TODAY(),J452+2),IF(G452="Fechou pacote",IF(J452="",TODAY(),J452+7),IF(G452="Em tratamento",IF(M452="",TODAY(),IF(TODAY()&lt;=M452+1,M452+1,EDATE(M452,6)-30)),IF(G452="Pós-venda",IF(J452="",TODAY(),J452+7),IF(G452="Perdido",IF(J452="",TODAY(),J452+60),""))))))))</f>
        <v/>
      </c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13" t="str">
        <f aca="false">IF(OR(E453="",E453="A completar",E453="Ainda não sabe"),"",IF(OR(E453="Limpeza de pele",E453="Peeling de diamante",E453="Microagulhamento"),"Rosto","Corpo"))</f>
        <v/>
      </c>
      <c r="G453" s="12"/>
      <c r="H453" s="12"/>
      <c r="I453" s="12"/>
      <c r="J453" s="14"/>
      <c r="K453" s="12"/>
      <c r="L453" s="14"/>
      <c r="M453" s="14"/>
      <c r="N453" s="12"/>
      <c r="O453" s="12"/>
      <c r="P453" s="15" t="str">
        <f aca="false">IF(M453="","",EDATE(M453,6))</f>
        <v/>
      </c>
      <c r="Q453" s="15" t="str">
        <f aca="false">IF(W453="","",IF(WEEKDAY(W453)=1,W453+1,W453))</f>
        <v/>
      </c>
      <c r="R453" s="13" t="str">
        <f aca="true">IF(Q453="","",IF(AND(N(K453)&gt;=3,G453&lt;&gt;"Perdido"),"Mover para Perdido",IF(Q453&lt;TODAY(),"Atrasado",IF(Q453=TODAY(),"Hoje","No prazo"))))</f>
        <v/>
      </c>
      <c r="S453" s="12"/>
      <c r="T453" s="12"/>
      <c r="U453" s="12"/>
      <c r="V453" s="7"/>
      <c r="W453" s="15" t="str">
        <f aca="true">IF(G453="","",IF(OR(G453="Novo contato",G453="Em conversa"),IF(J453="",TODAY(),J453+1),IF(G453="Avaliação marcada",IF(L453="",TODAY(),L453-1),IF(G453="Proposta enviada",IF(J453="",TODAY(),J453+2),IF(G453="Fechou pacote",IF(J453="",TODAY(),J453+7),IF(G453="Em tratamento",IF(M453="",TODAY(),IF(TODAY()&lt;=M453+1,M453+1,EDATE(M453,6)-30)),IF(G453="Pós-venda",IF(J453="",TODAY(),J453+7),IF(G453="Perdido",IF(J453="",TODAY(),J453+60),""))))))))</f>
        <v/>
      </c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13" t="str">
        <f aca="false">IF(OR(E454="",E454="A completar",E454="Ainda não sabe"),"",IF(OR(E454="Limpeza de pele",E454="Peeling de diamante",E454="Microagulhamento"),"Rosto","Corpo"))</f>
        <v/>
      </c>
      <c r="G454" s="12"/>
      <c r="H454" s="12"/>
      <c r="I454" s="12"/>
      <c r="J454" s="14"/>
      <c r="K454" s="12"/>
      <c r="L454" s="14"/>
      <c r="M454" s="14"/>
      <c r="N454" s="12"/>
      <c r="O454" s="12"/>
      <c r="P454" s="15" t="str">
        <f aca="false">IF(M454="","",EDATE(M454,6))</f>
        <v/>
      </c>
      <c r="Q454" s="15" t="str">
        <f aca="false">IF(W454="","",IF(WEEKDAY(W454)=1,W454+1,W454))</f>
        <v/>
      </c>
      <c r="R454" s="13" t="str">
        <f aca="true">IF(Q454="","",IF(AND(N(K454)&gt;=3,G454&lt;&gt;"Perdido"),"Mover para Perdido",IF(Q454&lt;TODAY(),"Atrasado",IF(Q454=TODAY(),"Hoje","No prazo"))))</f>
        <v/>
      </c>
      <c r="S454" s="12"/>
      <c r="T454" s="12"/>
      <c r="U454" s="12"/>
      <c r="V454" s="7"/>
      <c r="W454" s="15" t="str">
        <f aca="true">IF(G454="","",IF(OR(G454="Novo contato",G454="Em conversa"),IF(J454="",TODAY(),J454+1),IF(G454="Avaliação marcada",IF(L454="",TODAY(),L454-1),IF(G454="Proposta enviada",IF(J454="",TODAY(),J454+2),IF(G454="Fechou pacote",IF(J454="",TODAY(),J454+7),IF(G454="Em tratamento",IF(M454="",TODAY(),IF(TODAY()&lt;=M454+1,M454+1,EDATE(M454,6)-30)),IF(G454="Pós-venda",IF(J454="",TODAY(),J454+7),IF(G454="Perdido",IF(J454="",TODAY(),J454+60),""))))))))</f>
        <v/>
      </c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13" t="str">
        <f aca="false">IF(OR(E455="",E455="A completar",E455="Ainda não sabe"),"",IF(OR(E455="Limpeza de pele",E455="Peeling de diamante",E455="Microagulhamento"),"Rosto","Corpo"))</f>
        <v/>
      </c>
      <c r="G455" s="12"/>
      <c r="H455" s="12"/>
      <c r="I455" s="12"/>
      <c r="J455" s="14"/>
      <c r="K455" s="12"/>
      <c r="L455" s="14"/>
      <c r="M455" s="14"/>
      <c r="N455" s="12"/>
      <c r="O455" s="12"/>
      <c r="P455" s="15" t="str">
        <f aca="false">IF(M455="","",EDATE(M455,6))</f>
        <v/>
      </c>
      <c r="Q455" s="15" t="str">
        <f aca="false">IF(W455="","",IF(WEEKDAY(W455)=1,W455+1,W455))</f>
        <v/>
      </c>
      <c r="R455" s="13" t="str">
        <f aca="true">IF(Q455="","",IF(AND(N(K455)&gt;=3,G455&lt;&gt;"Perdido"),"Mover para Perdido",IF(Q455&lt;TODAY(),"Atrasado",IF(Q455=TODAY(),"Hoje","No prazo"))))</f>
        <v/>
      </c>
      <c r="S455" s="12"/>
      <c r="T455" s="12"/>
      <c r="U455" s="12"/>
      <c r="V455" s="7"/>
      <c r="W455" s="15" t="str">
        <f aca="true">IF(G455="","",IF(OR(G455="Novo contato",G455="Em conversa"),IF(J455="",TODAY(),J455+1),IF(G455="Avaliação marcada",IF(L455="",TODAY(),L455-1),IF(G455="Proposta enviada",IF(J455="",TODAY(),J455+2),IF(G455="Fechou pacote",IF(J455="",TODAY(),J455+7),IF(G455="Em tratamento",IF(M455="",TODAY(),IF(TODAY()&lt;=M455+1,M455+1,EDATE(M455,6)-30)),IF(G455="Pós-venda",IF(J455="",TODAY(),J455+7),IF(G455="Perdido",IF(J455="",TODAY(),J455+60),""))))))))</f>
        <v/>
      </c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13" t="str">
        <f aca="false">IF(OR(E456="",E456="A completar",E456="Ainda não sabe"),"",IF(OR(E456="Limpeza de pele",E456="Peeling de diamante",E456="Microagulhamento"),"Rosto","Corpo"))</f>
        <v/>
      </c>
      <c r="G456" s="12"/>
      <c r="H456" s="12"/>
      <c r="I456" s="12"/>
      <c r="J456" s="14"/>
      <c r="K456" s="12"/>
      <c r="L456" s="14"/>
      <c r="M456" s="14"/>
      <c r="N456" s="12"/>
      <c r="O456" s="12"/>
      <c r="P456" s="15" t="str">
        <f aca="false">IF(M456="","",EDATE(M456,6))</f>
        <v/>
      </c>
      <c r="Q456" s="15" t="str">
        <f aca="false">IF(W456="","",IF(WEEKDAY(W456)=1,W456+1,W456))</f>
        <v/>
      </c>
      <c r="R456" s="13" t="str">
        <f aca="true">IF(Q456="","",IF(AND(N(K456)&gt;=3,G456&lt;&gt;"Perdido"),"Mover para Perdido",IF(Q456&lt;TODAY(),"Atrasado",IF(Q456=TODAY(),"Hoje","No prazo"))))</f>
        <v/>
      </c>
      <c r="S456" s="12"/>
      <c r="T456" s="12"/>
      <c r="U456" s="12"/>
      <c r="V456" s="7"/>
      <c r="W456" s="15" t="str">
        <f aca="true">IF(G456="","",IF(OR(G456="Novo contato",G456="Em conversa"),IF(J456="",TODAY(),J456+1),IF(G456="Avaliação marcada",IF(L456="",TODAY(),L456-1),IF(G456="Proposta enviada",IF(J456="",TODAY(),J456+2),IF(G456="Fechou pacote",IF(J456="",TODAY(),J456+7),IF(G456="Em tratamento",IF(M456="",TODAY(),IF(TODAY()&lt;=M456+1,M456+1,EDATE(M456,6)-30)),IF(G456="Pós-venda",IF(J456="",TODAY(),J456+7),IF(G456="Perdido",IF(J456="",TODAY(),J456+60),""))))))))</f>
        <v/>
      </c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13" t="str">
        <f aca="false">IF(OR(E457="",E457="A completar",E457="Ainda não sabe"),"",IF(OR(E457="Limpeza de pele",E457="Peeling de diamante",E457="Microagulhamento"),"Rosto","Corpo"))</f>
        <v/>
      </c>
      <c r="G457" s="12"/>
      <c r="H457" s="12"/>
      <c r="I457" s="12"/>
      <c r="J457" s="14"/>
      <c r="K457" s="12"/>
      <c r="L457" s="14"/>
      <c r="M457" s="14"/>
      <c r="N457" s="12"/>
      <c r="O457" s="12"/>
      <c r="P457" s="15" t="str">
        <f aca="false">IF(M457="","",EDATE(M457,6))</f>
        <v/>
      </c>
      <c r="Q457" s="15" t="str">
        <f aca="false">IF(W457="","",IF(WEEKDAY(W457)=1,W457+1,W457))</f>
        <v/>
      </c>
      <c r="R457" s="13" t="str">
        <f aca="true">IF(Q457="","",IF(AND(N(K457)&gt;=3,G457&lt;&gt;"Perdido"),"Mover para Perdido",IF(Q457&lt;TODAY(),"Atrasado",IF(Q457=TODAY(),"Hoje","No prazo"))))</f>
        <v/>
      </c>
      <c r="S457" s="12"/>
      <c r="T457" s="12"/>
      <c r="U457" s="12"/>
      <c r="V457" s="7"/>
      <c r="W457" s="15" t="str">
        <f aca="true">IF(G457="","",IF(OR(G457="Novo contato",G457="Em conversa"),IF(J457="",TODAY(),J457+1),IF(G457="Avaliação marcada",IF(L457="",TODAY(),L457-1),IF(G457="Proposta enviada",IF(J457="",TODAY(),J457+2),IF(G457="Fechou pacote",IF(J457="",TODAY(),J457+7),IF(G457="Em tratamento",IF(M457="",TODAY(),IF(TODAY()&lt;=M457+1,M457+1,EDATE(M457,6)-30)),IF(G457="Pós-venda",IF(J457="",TODAY(),J457+7),IF(G457="Perdido",IF(J457="",TODAY(),J457+60),""))))))))</f>
        <v/>
      </c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13" t="str">
        <f aca="false">IF(OR(E458="",E458="A completar",E458="Ainda não sabe"),"",IF(OR(E458="Limpeza de pele",E458="Peeling de diamante",E458="Microagulhamento"),"Rosto","Corpo"))</f>
        <v/>
      </c>
      <c r="G458" s="12"/>
      <c r="H458" s="12"/>
      <c r="I458" s="12"/>
      <c r="J458" s="14"/>
      <c r="K458" s="12"/>
      <c r="L458" s="14"/>
      <c r="M458" s="14"/>
      <c r="N458" s="12"/>
      <c r="O458" s="12"/>
      <c r="P458" s="15" t="str">
        <f aca="false">IF(M458="","",EDATE(M458,6))</f>
        <v/>
      </c>
      <c r="Q458" s="15" t="str">
        <f aca="false">IF(W458="","",IF(WEEKDAY(W458)=1,W458+1,W458))</f>
        <v/>
      </c>
      <c r="R458" s="13" t="str">
        <f aca="true">IF(Q458="","",IF(AND(N(K458)&gt;=3,G458&lt;&gt;"Perdido"),"Mover para Perdido",IF(Q458&lt;TODAY(),"Atrasado",IF(Q458=TODAY(),"Hoje","No prazo"))))</f>
        <v/>
      </c>
      <c r="S458" s="12"/>
      <c r="T458" s="12"/>
      <c r="U458" s="12"/>
      <c r="V458" s="7"/>
      <c r="W458" s="15" t="str">
        <f aca="true">IF(G458="","",IF(OR(G458="Novo contato",G458="Em conversa"),IF(J458="",TODAY(),J458+1),IF(G458="Avaliação marcada",IF(L458="",TODAY(),L458-1),IF(G458="Proposta enviada",IF(J458="",TODAY(),J458+2),IF(G458="Fechou pacote",IF(J458="",TODAY(),J458+7),IF(G458="Em tratamento",IF(M458="",TODAY(),IF(TODAY()&lt;=M458+1,M458+1,EDATE(M458,6)-30)),IF(G458="Pós-venda",IF(J458="",TODAY(),J458+7),IF(G458="Perdido",IF(J458="",TODAY(),J458+60),""))))))))</f>
        <v/>
      </c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13" t="str">
        <f aca="false">IF(OR(E459="",E459="A completar",E459="Ainda não sabe"),"",IF(OR(E459="Limpeza de pele",E459="Peeling de diamante",E459="Microagulhamento"),"Rosto","Corpo"))</f>
        <v/>
      </c>
      <c r="G459" s="12"/>
      <c r="H459" s="12"/>
      <c r="I459" s="12"/>
      <c r="J459" s="14"/>
      <c r="K459" s="12"/>
      <c r="L459" s="14"/>
      <c r="M459" s="14"/>
      <c r="N459" s="12"/>
      <c r="O459" s="12"/>
      <c r="P459" s="15" t="str">
        <f aca="false">IF(M459="","",EDATE(M459,6))</f>
        <v/>
      </c>
      <c r="Q459" s="15" t="str">
        <f aca="false">IF(W459="","",IF(WEEKDAY(W459)=1,W459+1,W459))</f>
        <v/>
      </c>
      <c r="R459" s="13" t="str">
        <f aca="true">IF(Q459="","",IF(AND(N(K459)&gt;=3,G459&lt;&gt;"Perdido"),"Mover para Perdido",IF(Q459&lt;TODAY(),"Atrasado",IF(Q459=TODAY(),"Hoje","No prazo"))))</f>
        <v/>
      </c>
      <c r="S459" s="12"/>
      <c r="T459" s="12"/>
      <c r="U459" s="12"/>
      <c r="V459" s="7"/>
      <c r="W459" s="15" t="str">
        <f aca="true">IF(G459="","",IF(OR(G459="Novo contato",G459="Em conversa"),IF(J459="",TODAY(),J459+1),IF(G459="Avaliação marcada",IF(L459="",TODAY(),L459-1),IF(G459="Proposta enviada",IF(J459="",TODAY(),J459+2),IF(G459="Fechou pacote",IF(J459="",TODAY(),J459+7),IF(G459="Em tratamento",IF(M459="",TODAY(),IF(TODAY()&lt;=M459+1,M459+1,EDATE(M459,6)-30)),IF(G459="Pós-venda",IF(J459="",TODAY(),J459+7),IF(G459="Perdido",IF(J459="",TODAY(),J459+60),""))))))))</f>
        <v/>
      </c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13" t="str">
        <f aca="false">IF(OR(E460="",E460="A completar",E460="Ainda não sabe"),"",IF(OR(E460="Limpeza de pele",E460="Peeling de diamante",E460="Microagulhamento"),"Rosto","Corpo"))</f>
        <v/>
      </c>
      <c r="G460" s="12"/>
      <c r="H460" s="12"/>
      <c r="I460" s="12"/>
      <c r="J460" s="14"/>
      <c r="K460" s="12"/>
      <c r="L460" s="14"/>
      <c r="M460" s="14"/>
      <c r="N460" s="12"/>
      <c r="O460" s="12"/>
      <c r="P460" s="15" t="str">
        <f aca="false">IF(M460="","",EDATE(M460,6))</f>
        <v/>
      </c>
      <c r="Q460" s="15" t="str">
        <f aca="false">IF(W460="","",IF(WEEKDAY(W460)=1,W460+1,W460))</f>
        <v/>
      </c>
      <c r="R460" s="13" t="str">
        <f aca="true">IF(Q460="","",IF(AND(N(K460)&gt;=3,G460&lt;&gt;"Perdido"),"Mover para Perdido",IF(Q460&lt;TODAY(),"Atrasado",IF(Q460=TODAY(),"Hoje","No prazo"))))</f>
        <v/>
      </c>
      <c r="S460" s="12"/>
      <c r="T460" s="12"/>
      <c r="U460" s="12"/>
      <c r="V460" s="7"/>
      <c r="W460" s="15" t="str">
        <f aca="true">IF(G460="","",IF(OR(G460="Novo contato",G460="Em conversa"),IF(J460="",TODAY(),J460+1),IF(G460="Avaliação marcada",IF(L460="",TODAY(),L460-1),IF(G460="Proposta enviada",IF(J460="",TODAY(),J460+2),IF(G460="Fechou pacote",IF(J460="",TODAY(),J460+7),IF(G460="Em tratamento",IF(M460="",TODAY(),IF(TODAY()&lt;=M460+1,M460+1,EDATE(M460,6)-30)),IF(G460="Pós-venda",IF(J460="",TODAY(),J460+7),IF(G460="Perdido",IF(J460="",TODAY(),J460+60),""))))))))</f>
        <v/>
      </c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13" t="str">
        <f aca="false">IF(OR(E461="",E461="A completar",E461="Ainda não sabe"),"",IF(OR(E461="Limpeza de pele",E461="Peeling de diamante",E461="Microagulhamento"),"Rosto","Corpo"))</f>
        <v/>
      </c>
      <c r="G461" s="12"/>
      <c r="H461" s="12"/>
      <c r="I461" s="12"/>
      <c r="J461" s="14"/>
      <c r="K461" s="12"/>
      <c r="L461" s="14"/>
      <c r="M461" s="14"/>
      <c r="N461" s="12"/>
      <c r="O461" s="12"/>
      <c r="P461" s="15" t="str">
        <f aca="false">IF(M461="","",EDATE(M461,6))</f>
        <v/>
      </c>
      <c r="Q461" s="15" t="str">
        <f aca="false">IF(W461="","",IF(WEEKDAY(W461)=1,W461+1,W461))</f>
        <v/>
      </c>
      <c r="R461" s="13" t="str">
        <f aca="true">IF(Q461="","",IF(AND(N(K461)&gt;=3,G461&lt;&gt;"Perdido"),"Mover para Perdido",IF(Q461&lt;TODAY(),"Atrasado",IF(Q461=TODAY(),"Hoje","No prazo"))))</f>
        <v/>
      </c>
      <c r="S461" s="12"/>
      <c r="T461" s="12"/>
      <c r="U461" s="12"/>
      <c r="V461" s="7"/>
      <c r="W461" s="15" t="str">
        <f aca="true">IF(G461="","",IF(OR(G461="Novo contato",G461="Em conversa"),IF(J461="",TODAY(),J461+1),IF(G461="Avaliação marcada",IF(L461="",TODAY(),L461-1),IF(G461="Proposta enviada",IF(J461="",TODAY(),J461+2),IF(G461="Fechou pacote",IF(J461="",TODAY(),J461+7),IF(G461="Em tratamento",IF(M461="",TODAY(),IF(TODAY()&lt;=M461+1,M461+1,EDATE(M461,6)-30)),IF(G461="Pós-venda",IF(J461="",TODAY(),J461+7),IF(G461="Perdido",IF(J461="",TODAY(),J461+60),""))))))))</f>
        <v/>
      </c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13" t="str">
        <f aca="false">IF(OR(E462="",E462="A completar",E462="Ainda não sabe"),"",IF(OR(E462="Limpeza de pele",E462="Peeling de diamante",E462="Microagulhamento"),"Rosto","Corpo"))</f>
        <v/>
      </c>
      <c r="G462" s="12"/>
      <c r="H462" s="12"/>
      <c r="I462" s="12"/>
      <c r="J462" s="14"/>
      <c r="K462" s="12"/>
      <c r="L462" s="14"/>
      <c r="M462" s="14"/>
      <c r="N462" s="12"/>
      <c r="O462" s="12"/>
      <c r="P462" s="15" t="str">
        <f aca="false">IF(M462="","",EDATE(M462,6))</f>
        <v/>
      </c>
      <c r="Q462" s="15" t="str">
        <f aca="false">IF(W462="","",IF(WEEKDAY(W462)=1,W462+1,W462))</f>
        <v/>
      </c>
      <c r="R462" s="13" t="str">
        <f aca="true">IF(Q462="","",IF(AND(N(K462)&gt;=3,G462&lt;&gt;"Perdido"),"Mover para Perdido",IF(Q462&lt;TODAY(),"Atrasado",IF(Q462=TODAY(),"Hoje","No prazo"))))</f>
        <v/>
      </c>
      <c r="S462" s="12"/>
      <c r="T462" s="12"/>
      <c r="U462" s="12"/>
      <c r="V462" s="7"/>
      <c r="W462" s="15" t="str">
        <f aca="true">IF(G462="","",IF(OR(G462="Novo contato",G462="Em conversa"),IF(J462="",TODAY(),J462+1),IF(G462="Avaliação marcada",IF(L462="",TODAY(),L462-1),IF(G462="Proposta enviada",IF(J462="",TODAY(),J462+2),IF(G462="Fechou pacote",IF(J462="",TODAY(),J462+7),IF(G462="Em tratamento",IF(M462="",TODAY(),IF(TODAY()&lt;=M462+1,M462+1,EDATE(M462,6)-30)),IF(G462="Pós-venda",IF(J462="",TODAY(),J462+7),IF(G462="Perdido",IF(J462="",TODAY(),J462+60),""))))))))</f>
        <v/>
      </c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13" t="str">
        <f aca="false">IF(OR(E463="",E463="A completar",E463="Ainda não sabe"),"",IF(OR(E463="Limpeza de pele",E463="Peeling de diamante",E463="Microagulhamento"),"Rosto","Corpo"))</f>
        <v/>
      </c>
      <c r="G463" s="12"/>
      <c r="H463" s="12"/>
      <c r="I463" s="12"/>
      <c r="J463" s="14"/>
      <c r="K463" s="12"/>
      <c r="L463" s="14"/>
      <c r="M463" s="14"/>
      <c r="N463" s="12"/>
      <c r="O463" s="12"/>
      <c r="P463" s="15" t="str">
        <f aca="false">IF(M463="","",EDATE(M463,6))</f>
        <v/>
      </c>
      <c r="Q463" s="15" t="str">
        <f aca="false">IF(W463="","",IF(WEEKDAY(W463)=1,W463+1,W463))</f>
        <v/>
      </c>
      <c r="R463" s="13" t="str">
        <f aca="true">IF(Q463="","",IF(AND(N(K463)&gt;=3,G463&lt;&gt;"Perdido"),"Mover para Perdido",IF(Q463&lt;TODAY(),"Atrasado",IF(Q463=TODAY(),"Hoje","No prazo"))))</f>
        <v/>
      </c>
      <c r="S463" s="12"/>
      <c r="T463" s="12"/>
      <c r="U463" s="12"/>
      <c r="V463" s="7"/>
      <c r="W463" s="15" t="str">
        <f aca="true">IF(G463="","",IF(OR(G463="Novo contato",G463="Em conversa"),IF(J463="",TODAY(),J463+1),IF(G463="Avaliação marcada",IF(L463="",TODAY(),L463-1),IF(G463="Proposta enviada",IF(J463="",TODAY(),J463+2),IF(G463="Fechou pacote",IF(J463="",TODAY(),J463+7),IF(G463="Em tratamento",IF(M463="",TODAY(),IF(TODAY()&lt;=M463+1,M463+1,EDATE(M463,6)-30)),IF(G463="Pós-venda",IF(J463="",TODAY(),J463+7),IF(G463="Perdido",IF(J463="",TODAY(),J463+60),""))))))))</f>
        <v/>
      </c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13" t="str">
        <f aca="false">IF(OR(E464="",E464="A completar",E464="Ainda não sabe"),"",IF(OR(E464="Limpeza de pele",E464="Peeling de diamante",E464="Microagulhamento"),"Rosto","Corpo"))</f>
        <v/>
      </c>
      <c r="G464" s="12"/>
      <c r="H464" s="12"/>
      <c r="I464" s="12"/>
      <c r="J464" s="14"/>
      <c r="K464" s="12"/>
      <c r="L464" s="14"/>
      <c r="M464" s="14"/>
      <c r="N464" s="12"/>
      <c r="O464" s="12"/>
      <c r="P464" s="15" t="str">
        <f aca="false">IF(M464="","",EDATE(M464,6))</f>
        <v/>
      </c>
      <c r="Q464" s="15" t="str">
        <f aca="false">IF(W464="","",IF(WEEKDAY(W464)=1,W464+1,W464))</f>
        <v/>
      </c>
      <c r="R464" s="13" t="str">
        <f aca="true">IF(Q464="","",IF(AND(N(K464)&gt;=3,G464&lt;&gt;"Perdido"),"Mover para Perdido",IF(Q464&lt;TODAY(),"Atrasado",IF(Q464=TODAY(),"Hoje","No prazo"))))</f>
        <v/>
      </c>
      <c r="S464" s="12"/>
      <c r="T464" s="12"/>
      <c r="U464" s="12"/>
      <c r="V464" s="7"/>
      <c r="W464" s="15" t="str">
        <f aca="true">IF(G464="","",IF(OR(G464="Novo contato",G464="Em conversa"),IF(J464="",TODAY(),J464+1),IF(G464="Avaliação marcada",IF(L464="",TODAY(),L464-1),IF(G464="Proposta enviada",IF(J464="",TODAY(),J464+2),IF(G464="Fechou pacote",IF(J464="",TODAY(),J464+7),IF(G464="Em tratamento",IF(M464="",TODAY(),IF(TODAY()&lt;=M464+1,M464+1,EDATE(M464,6)-30)),IF(G464="Pós-venda",IF(J464="",TODAY(),J464+7),IF(G464="Perdido",IF(J464="",TODAY(),J464+60),""))))))))</f>
        <v/>
      </c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13" t="str">
        <f aca="false">IF(OR(E465="",E465="A completar",E465="Ainda não sabe"),"",IF(OR(E465="Limpeza de pele",E465="Peeling de diamante",E465="Microagulhamento"),"Rosto","Corpo"))</f>
        <v/>
      </c>
      <c r="G465" s="12"/>
      <c r="H465" s="12"/>
      <c r="I465" s="12"/>
      <c r="J465" s="14"/>
      <c r="K465" s="12"/>
      <c r="L465" s="14"/>
      <c r="M465" s="14"/>
      <c r="N465" s="12"/>
      <c r="O465" s="12"/>
      <c r="P465" s="15" t="str">
        <f aca="false">IF(M465="","",EDATE(M465,6))</f>
        <v/>
      </c>
      <c r="Q465" s="15" t="str">
        <f aca="false">IF(W465="","",IF(WEEKDAY(W465)=1,W465+1,W465))</f>
        <v/>
      </c>
      <c r="R465" s="13" t="str">
        <f aca="true">IF(Q465="","",IF(AND(N(K465)&gt;=3,G465&lt;&gt;"Perdido"),"Mover para Perdido",IF(Q465&lt;TODAY(),"Atrasado",IF(Q465=TODAY(),"Hoje","No prazo"))))</f>
        <v/>
      </c>
      <c r="S465" s="12"/>
      <c r="T465" s="12"/>
      <c r="U465" s="12"/>
      <c r="V465" s="7"/>
      <c r="W465" s="15" t="str">
        <f aca="true">IF(G465="","",IF(OR(G465="Novo contato",G465="Em conversa"),IF(J465="",TODAY(),J465+1),IF(G465="Avaliação marcada",IF(L465="",TODAY(),L465-1),IF(G465="Proposta enviada",IF(J465="",TODAY(),J465+2),IF(G465="Fechou pacote",IF(J465="",TODAY(),J465+7),IF(G465="Em tratamento",IF(M465="",TODAY(),IF(TODAY()&lt;=M465+1,M465+1,EDATE(M465,6)-30)),IF(G465="Pós-venda",IF(J465="",TODAY(),J465+7),IF(G465="Perdido",IF(J465="",TODAY(),J465+60),""))))))))</f>
        <v/>
      </c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13" t="str">
        <f aca="false">IF(OR(E466="",E466="A completar",E466="Ainda não sabe"),"",IF(OR(E466="Limpeza de pele",E466="Peeling de diamante",E466="Microagulhamento"),"Rosto","Corpo"))</f>
        <v/>
      </c>
      <c r="G466" s="12"/>
      <c r="H466" s="12"/>
      <c r="I466" s="12"/>
      <c r="J466" s="14"/>
      <c r="K466" s="12"/>
      <c r="L466" s="14"/>
      <c r="M466" s="14"/>
      <c r="N466" s="12"/>
      <c r="O466" s="12"/>
      <c r="P466" s="15" t="str">
        <f aca="false">IF(M466="","",EDATE(M466,6))</f>
        <v/>
      </c>
      <c r="Q466" s="15" t="str">
        <f aca="false">IF(W466="","",IF(WEEKDAY(W466)=1,W466+1,W466))</f>
        <v/>
      </c>
      <c r="R466" s="13" t="str">
        <f aca="true">IF(Q466="","",IF(AND(N(K466)&gt;=3,G466&lt;&gt;"Perdido"),"Mover para Perdido",IF(Q466&lt;TODAY(),"Atrasado",IF(Q466=TODAY(),"Hoje","No prazo"))))</f>
        <v/>
      </c>
      <c r="S466" s="12"/>
      <c r="T466" s="12"/>
      <c r="U466" s="12"/>
      <c r="V466" s="7"/>
      <c r="W466" s="15" t="str">
        <f aca="true">IF(G466="","",IF(OR(G466="Novo contato",G466="Em conversa"),IF(J466="",TODAY(),J466+1),IF(G466="Avaliação marcada",IF(L466="",TODAY(),L466-1),IF(G466="Proposta enviada",IF(J466="",TODAY(),J466+2),IF(G466="Fechou pacote",IF(J466="",TODAY(),J466+7),IF(G466="Em tratamento",IF(M466="",TODAY(),IF(TODAY()&lt;=M466+1,M466+1,EDATE(M466,6)-30)),IF(G466="Pós-venda",IF(J466="",TODAY(),J466+7),IF(G466="Perdido",IF(J466="",TODAY(),J466+60),""))))))))</f>
        <v/>
      </c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13" t="str">
        <f aca="false">IF(OR(E467="",E467="A completar",E467="Ainda não sabe"),"",IF(OR(E467="Limpeza de pele",E467="Peeling de diamante",E467="Microagulhamento"),"Rosto","Corpo"))</f>
        <v/>
      </c>
      <c r="G467" s="12"/>
      <c r="H467" s="12"/>
      <c r="I467" s="12"/>
      <c r="J467" s="14"/>
      <c r="K467" s="12"/>
      <c r="L467" s="14"/>
      <c r="M467" s="14"/>
      <c r="N467" s="12"/>
      <c r="O467" s="12"/>
      <c r="P467" s="15" t="str">
        <f aca="false">IF(M467="","",EDATE(M467,6))</f>
        <v/>
      </c>
      <c r="Q467" s="15" t="str">
        <f aca="false">IF(W467="","",IF(WEEKDAY(W467)=1,W467+1,W467))</f>
        <v/>
      </c>
      <c r="R467" s="13" t="str">
        <f aca="true">IF(Q467="","",IF(AND(N(K467)&gt;=3,G467&lt;&gt;"Perdido"),"Mover para Perdido",IF(Q467&lt;TODAY(),"Atrasado",IF(Q467=TODAY(),"Hoje","No prazo"))))</f>
        <v/>
      </c>
      <c r="S467" s="12"/>
      <c r="T467" s="12"/>
      <c r="U467" s="12"/>
      <c r="V467" s="7"/>
      <c r="W467" s="15" t="str">
        <f aca="true">IF(G467="","",IF(OR(G467="Novo contato",G467="Em conversa"),IF(J467="",TODAY(),J467+1),IF(G467="Avaliação marcada",IF(L467="",TODAY(),L467-1),IF(G467="Proposta enviada",IF(J467="",TODAY(),J467+2),IF(G467="Fechou pacote",IF(J467="",TODAY(),J467+7),IF(G467="Em tratamento",IF(M467="",TODAY(),IF(TODAY()&lt;=M467+1,M467+1,EDATE(M467,6)-30)),IF(G467="Pós-venda",IF(J467="",TODAY(),J467+7),IF(G467="Perdido",IF(J467="",TODAY(),J467+60),""))))))))</f>
        <v/>
      </c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13" t="str">
        <f aca="false">IF(OR(E468="",E468="A completar",E468="Ainda não sabe"),"",IF(OR(E468="Limpeza de pele",E468="Peeling de diamante",E468="Microagulhamento"),"Rosto","Corpo"))</f>
        <v/>
      </c>
      <c r="G468" s="12"/>
      <c r="H468" s="12"/>
      <c r="I468" s="12"/>
      <c r="J468" s="14"/>
      <c r="K468" s="12"/>
      <c r="L468" s="14"/>
      <c r="M468" s="14"/>
      <c r="N468" s="12"/>
      <c r="O468" s="12"/>
      <c r="P468" s="15" t="str">
        <f aca="false">IF(M468="","",EDATE(M468,6))</f>
        <v/>
      </c>
      <c r="Q468" s="15" t="str">
        <f aca="false">IF(W468="","",IF(WEEKDAY(W468)=1,W468+1,W468))</f>
        <v/>
      </c>
      <c r="R468" s="13" t="str">
        <f aca="true">IF(Q468="","",IF(AND(N(K468)&gt;=3,G468&lt;&gt;"Perdido"),"Mover para Perdido",IF(Q468&lt;TODAY(),"Atrasado",IF(Q468=TODAY(),"Hoje","No prazo"))))</f>
        <v/>
      </c>
      <c r="S468" s="12"/>
      <c r="T468" s="12"/>
      <c r="U468" s="12"/>
      <c r="V468" s="7"/>
      <c r="W468" s="15" t="str">
        <f aca="true">IF(G468="","",IF(OR(G468="Novo contato",G468="Em conversa"),IF(J468="",TODAY(),J468+1),IF(G468="Avaliação marcada",IF(L468="",TODAY(),L468-1),IF(G468="Proposta enviada",IF(J468="",TODAY(),J468+2),IF(G468="Fechou pacote",IF(J468="",TODAY(),J468+7),IF(G468="Em tratamento",IF(M468="",TODAY(),IF(TODAY()&lt;=M468+1,M468+1,EDATE(M468,6)-30)),IF(G468="Pós-venda",IF(J468="",TODAY(),J468+7),IF(G468="Perdido",IF(J468="",TODAY(),J468+60),""))))))))</f>
        <v/>
      </c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13" t="str">
        <f aca="false">IF(OR(E469="",E469="A completar",E469="Ainda não sabe"),"",IF(OR(E469="Limpeza de pele",E469="Peeling de diamante",E469="Microagulhamento"),"Rosto","Corpo"))</f>
        <v/>
      </c>
      <c r="G469" s="12"/>
      <c r="H469" s="12"/>
      <c r="I469" s="12"/>
      <c r="J469" s="14"/>
      <c r="K469" s="12"/>
      <c r="L469" s="14"/>
      <c r="M469" s="14"/>
      <c r="N469" s="12"/>
      <c r="O469" s="12"/>
      <c r="P469" s="15" t="str">
        <f aca="false">IF(M469="","",EDATE(M469,6))</f>
        <v/>
      </c>
      <c r="Q469" s="15" t="str">
        <f aca="false">IF(W469="","",IF(WEEKDAY(W469)=1,W469+1,W469))</f>
        <v/>
      </c>
      <c r="R469" s="13" t="str">
        <f aca="true">IF(Q469="","",IF(AND(N(K469)&gt;=3,G469&lt;&gt;"Perdido"),"Mover para Perdido",IF(Q469&lt;TODAY(),"Atrasado",IF(Q469=TODAY(),"Hoje","No prazo"))))</f>
        <v/>
      </c>
      <c r="S469" s="12"/>
      <c r="T469" s="12"/>
      <c r="U469" s="12"/>
      <c r="V469" s="7"/>
      <c r="W469" s="15" t="str">
        <f aca="true">IF(G469="","",IF(OR(G469="Novo contato",G469="Em conversa"),IF(J469="",TODAY(),J469+1),IF(G469="Avaliação marcada",IF(L469="",TODAY(),L469-1),IF(G469="Proposta enviada",IF(J469="",TODAY(),J469+2),IF(G469="Fechou pacote",IF(J469="",TODAY(),J469+7),IF(G469="Em tratamento",IF(M469="",TODAY(),IF(TODAY()&lt;=M469+1,M469+1,EDATE(M469,6)-30)),IF(G469="Pós-venda",IF(J469="",TODAY(),J469+7),IF(G469="Perdido",IF(J469="",TODAY(),J469+60),""))))))))</f>
        <v/>
      </c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13" t="str">
        <f aca="false">IF(OR(E470="",E470="A completar",E470="Ainda não sabe"),"",IF(OR(E470="Limpeza de pele",E470="Peeling de diamante",E470="Microagulhamento"),"Rosto","Corpo"))</f>
        <v/>
      </c>
      <c r="G470" s="12"/>
      <c r="H470" s="12"/>
      <c r="I470" s="12"/>
      <c r="J470" s="14"/>
      <c r="K470" s="12"/>
      <c r="L470" s="14"/>
      <c r="M470" s="14"/>
      <c r="N470" s="12"/>
      <c r="O470" s="12"/>
      <c r="P470" s="15" t="str">
        <f aca="false">IF(M470="","",EDATE(M470,6))</f>
        <v/>
      </c>
      <c r="Q470" s="15" t="str">
        <f aca="false">IF(W470="","",IF(WEEKDAY(W470)=1,W470+1,W470))</f>
        <v/>
      </c>
      <c r="R470" s="13" t="str">
        <f aca="true">IF(Q470="","",IF(AND(N(K470)&gt;=3,G470&lt;&gt;"Perdido"),"Mover para Perdido",IF(Q470&lt;TODAY(),"Atrasado",IF(Q470=TODAY(),"Hoje","No prazo"))))</f>
        <v/>
      </c>
      <c r="S470" s="12"/>
      <c r="T470" s="12"/>
      <c r="U470" s="12"/>
      <c r="V470" s="7"/>
      <c r="W470" s="15" t="str">
        <f aca="true">IF(G470="","",IF(OR(G470="Novo contato",G470="Em conversa"),IF(J470="",TODAY(),J470+1),IF(G470="Avaliação marcada",IF(L470="",TODAY(),L470-1),IF(G470="Proposta enviada",IF(J470="",TODAY(),J470+2),IF(G470="Fechou pacote",IF(J470="",TODAY(),J470+7),IF(G470="Em tratamento",IF(M470="",TODAY(),IF(TODAY()&lt;=M470+1,M470+1,EDATE(M470,6)-30)),IF(G470="Pós-venda",IF(J470="",TODAY(),J470+7),IF(G470="Perdido",IF(J470="",TODAY(),J470+60),""))))))))</f>
        <v/>
      </c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13" t="str">
        <f aca="false">IF(OR(E471="",E471="A completar",E471="Ainda não sabe"),"",IF(OR(E471="Limpeza de pele",E471="Peeling de diamante",E471="Microagulhamento"),"Rosto","Corpo"))</f>
        <v/>
      </c>
      <c r="G471" s="12"/>
      <c r="H471" s="12"/>
      <c r="I471" s="12"/>
      <c r="J471" s="14"/>
      <c r="K471" s="12"/>
      <c r="L471" s="14"/>
      <c r="M471" s="14"/>
      <c r="N471" s="12"/>
      <c r="O471" s="12"/>
      <c r="P471" s="15" t="str">
        <f aca="false">IF(M471="","",EDATE(M471,6))</f>
        <v/>
      </c>
      <c r="Q471" s="15" t="str">
        <f aca="false">IF(W471="","",IF(WEEKDAY(W471)=1,W471+1,W471))</f>
        <v/>
      </c>
      <c r="R471" s="13" t="str">
        <f aca="true">IF(Q471="","",IF(AND(N(K471)&gt;=3,G471&lt;&gt;"Perdido"),"Mover para Perdido",IF(Q471&lt;TODAY(),"Atrasado",IF(Q471=TODAY(),"Hoje","No prazo"))))</f>
        <v/>
      </c>
      <c r="S471" s="12"/>
      <c r="T471" s="12"/>
      <c r="U471" s="12"/>
      <c r="V471" s="7"/>
      <c r="W471" s="15" t="str">
        <f aca="true">IF(G471="","",IF(OR(G471="Novo contato",G471="Em conversa"),IF(J471="",TODAY(),J471+1),IF(G471="Avaliação marcada",IF(L471="",TODAY(),L471-1),IF(G471="Proposta enviada",IF(J471="",TODAY(),J471+2),IF(G471="Fechou pacote",IF(J471="",TODAY(),J471+7),IF(G471="Em tratamento",IF(M471="",TODAY(),IF(TODAY()&lt;=M471+1,M471+1,EDATE(M471,6)-30)),IF(G471="Pós-venda",IF(J471="",TODAY(),J471+7),IF(G471="Perdido",IF(J471="",TODAY(),J471+60),""))))))))</f>
        <v/>
      </c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13" t="str">
        <f aca="false">IF(OR(E472="",E472="A completar",E472="Ainda não sabe"),"",IF(OR(E472="Limpeza de pele",E472="Peeling de diamante",E472="Microagulhamento"),"Rosto","Corpo"))</f>
        <v/>
      </c>
      <c r="G472" s="12"/>
      <c r="H472" s="12"/>
      <c r="I472" s="12"/>
      <c r="J472" s="14"/>
      <c r="K472" s="12"/>
      <c r="L472" s="14"/>
      <c r="M472" s="14"/>
      <c r="N472" s="12"/>
      <c r="O472" s="12"/>
      <c r="P472" s="15" t="str">
        <f aca="false">IF(M472="","",EDATE(M472,6))</f>
        <v/>
      </c>
      <c r="Q472" s="15" t="str">
        <f aca="false">IF(W472="","",IF(WEEKDAY(W472)=1,W472+1,W472))</f>
        <v/>
      </c>
      <c r="R472" s="13" t="str">
        <f aca="true">IF(Q472="","",IF(AND(N(K472)&gt;=3,G472&lt;&gt;"Perdido"),"Mover para Perdido",IF(Q472&lt;TODAY(),"Atrasado",IF(Q472=TODAY(),"Hoje","No prazo"))))</f>
        <v/>
      </c>
      <c r="S472" s="12"/>
      <c r="T472" s="12"/>
      <c r="U472" s="12"/>
      <c r="V472" s="7"/>
      <c r="W472" s="15" t="str">
        <f aca="true">IF(G472="","",IF(OR(G472="Novo contato",G472="Em conversa"),IF(J472="",TODAY(),J472+1),IF(G472="Avaliação marcada",IF(L472="",TODAY(),L472-1),IF(G472="Proposta enviada",IF(J472="",TODAY(),J472+2),IF(G472="Fechou pacote",IF(J472="",TODAY(),J472+7),IF(G472="Em tratamento",IF(M472="",TODAY(),IF(TODAY()&lt;=M472+1,M472+1,EDATE(M472,6)-30)),IF(G472="Pós-venda",IF(J472="",TODAY(),J472+7),IF(G472="Perdido",IF(J472="",TODAY(),J472+60),""))))))))</f>
        <v/>
      </c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13" t="str">
        <f aca="false">IF(OR(E473="",E473="A completar",E473="Ainda não sabe"),"",IF(OR(E473="Limpeza de pele",E473="Peeling de diamante",E473="Microagulhamento"),"Rosto","Corpo"))</f>
        <v/>
      </c>
      <c r="G473" s="12"/>
      <c r="H473" s="12"/>
      <c r="I473" s="12"/>
      <c r="J473" s="14"/>
      <c r="K473" s="12"/>
      <c r="L473" s="14"/>
      <c r="M473" s="14"/>
      <c r="N473" s="12"/>
      <c r="O473" s="12"/>
      <c r="P473" s="15" t="str">
        <f aca="false">IF(M473="","",EDATE(M473,6))</f>
        <v/>
      </c>
      <c r="Q473" s="15" t="str">
        <f aca="false">IF(W473="","",IF(WEEKDAY(W473)=1,W473+1,W473))</f>
        <v/>
      </c>
      <c r="R473" s="13" t="str">
        <f aca="true">IF(Q473="","",IF(AND(N(K473)&gt;=3,G473&lt;&gt;"Perdido"),"Mover para Perdido",IF(Q473&lt;TODAY(),"Atrasado",IF(Q473=TODAY(),"Hoje","No prazo"))))</f>
        <v/>
      </c>
      <c r="S473" s="12"/>
      <c r="T473" s="12"/>
      <c r="U473" s="12"/>
      <c r="V473" s="7"/>
      <c r="W473" s="15" t="str">
        <f aca="true">IF(G473="","",IF(OR(G473="Novo contato",G473="Em conversa"),IF(J473="",TODAY(),J473+1),IF(G473="Avaliação marcada",IF(L473="",TODAY(),L473-1),IF(G473="Proposta enviada",IF(J473="",TODAY(),J473+2),IF(G473="Fechou pacote",IF(J473="",TODAY(),J473+7),IF(G473="Em tratamento",IF(M473="",TODAY(),IF(TODAY()&lt;=M473+1,M473+1,EDATE(M473,6)-30)),IF(G473="Pós-venda",IF(J473="",TODAY(),J473+7),IF(G473="Perdido",IF(J473="",TODAY(),J473+60),""))))))))</f>
        <v/>
      </c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13" t="str">
        <f aca="false">IF(OR(E474="",E474="A completar",E474="Ainda não sabe"),"",IF(OR(E474="Limpeza de pele",E474="Peeling de diamante",E474="Microagulhamento"),"Rosto","Corpo"))</f>
        <v/>
      </c>
      <c r="G474" s="12"/>
      <c r="H474" s="12"/>
      <c r="I474" s="12"/>
      <c r="J474" s="14"/>
      <c r="K474" s="12"/>
      <c r="L474" s="14"/>
      <c r="M474" s="14"/>
      <c r="N474" s="12"/>
      <c r="O474" s="12"/>
      <c r="P474" s="15" t="str">
        <f aca="false">IF(M474="","",EDATE(M474,6))</f>
        <v/>
      </c>
      <c r="Q474" s="15" t="str">
        <f aca="false">IF(W474="","",IF(WEEKDAY(W474)=1,W474+1,W474))</f>
        <v/>
      </c>
      <c r="R474" s="13" t="str">
        <f aca="true">IF(Q474="","",IF(AND(N(K474)&gt;=3,G474&lt;&gt;"Perdido"),"Mover para Perdido",IF(Q474&lt;TODAY(),"Atrasado",IF(Q474=TODAY(),"Hoje","No prazo"))))</f>
        <v/>
      </c>
      <c r="S474" s="12"/>
      <c r="T474" s="12"/>
      <c r="U474" s="12"/>
      <c r="V474" s="7"/>
      <c r="W474" s="15" t="str">
        <f aca="true">IF(G474="","",IF(OR(G474="Novo contato",G474="Em conversa"),IF(J474="",TODAY(),J474+1),IF(G474="Avaliação marcada",IF(L474="",TODAY(),L474-1),IF(G474="Proposta enviada",IF(J474="",TODAY(),J474+2),IF(G474="Fechou pacote",IF(J474="",TODAY(),J474+7),IF(G474="Em tratamento",IF(M474="",TODAY(),IF(TODAY()&lt;=M474+1,M474+1,EDATE(M474,6)-30)),IF(G474="Pós-venda",IF(J474="",TODAY(),J474+7),IF(G474="Perdido",IF(J474="",TODAY(),J474+60),""))))))))</f>
        <v/>
      </c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13" t="str">
        <f aca="false">IF(OR(E475="",E475="A completar",E475="Ainda não sabe"),"",IF(OR(E475="Limpeza de pele",E475="Peeling de diamante",E475="Microagulhamento"),"Rosto","Corpo"))</f>
        <v/>
      </c>
      <c r="G475" s="12"/>
      <c r="H475" s="12"/>
      <c r="I475" s="12"/>
      <c r="J475" s="14"/>
      <c r="K475" s="12"/>
      <c r="L475" s="14"/>
      <c r="M475" s="14"/>
      <c r="N475" s="12"/>
      <c r="O475" s="12"/>
      <c r="P475" s="15" t="str">
        <f aca="false">IF(M475="","",EDATE(M475,6))</f>
        <v/>
      </c>
      <c r="Q475" s="15" t="str">
        <f aca="false">IF(W475="","",IF(WEEKDAY(W475)=1,W475+1,W475))</f>
        <v/>
      </c>
      <c r="R475" s="13" t="str">
        <f aca="true">IF(Q475="","",IF(AND(N(K475)&gt;=3,G475&lt;&gt;"Perdido"),"Mover para Perdido",IF(Q475&lt;TODAY(),"Atrasado",IF(Q475=TODAY(),"Hoje","No prazo"))))</f>
        <v/>
      </c>
      <c r="S475" s="12"/>
      <c r="T475" s="12"/>
      <c r="U475" s="12"/>
      <c r="V475" s="7"/>
      <c r="W475" s="15" t="str">
        <f aca="true">IF(G475="","",IF(OR(G475="Novo contato",G475="Em conversa"),IF(J475="",TODAY(),J475+1),IF(G475="Avaliação marcada",IF(L475="",TODAY(),L475-1),IF(G475="Proposta enviada",IF(J475="",TODAY(),J475+2),IF(G475="Fechou pacote",IF(J475="",TODAY(),J475+7),IF(G475="Em tratamento",IF(M475="",TODAY(),IF(TODAY()&lt;=M475+1,M475+1,EDATE(M475,6)-30)),IF(G475="Pós-venda",IF(J475="",TODAY(),J475+7),IF(G475="Perdido",IF(J475="",TODAY(),J475+60),""))))))))</f>
        <v/>
      </c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13" t="str">
        <f aca="false">IF(OR(E476="",E476="A completar",E476="Ainda não sabe"),"",IF(OR(E476="Limpeza de pele",E476="Peeling de diamante",E476="Microagulhamento"),"Rosto","Corpo"))</f>
        <v/>
      </c>
      <c r="G476" s="12"/>
      <c r="H476" s="12"/>
      <c r="I476" s="12"/>
      <c r="J476" s="14"/>
      <c r="K476" s="12"/>
      <c r="L476" s="14"/>
      <c r="M476" s="14"/>
      <c r="N476" s="12"/>
      <c r="O476" s="12"/>
      <c r="P476" s="15" t="str">
        <f aca="false">IF(M476="","",EDATE(M476,6))</f>
        <v/>
      </c>
      <c r="Q476" s="15" t="str">
        <f aca="false">IF(W476="","",IF(WEEKDAY(W476)=1,W476+1,W476))</f>
        <v/>
      </c>
      <c r="R476" s="13" t="str">
        <f aca="true">IF(Q476="","",IF(AND(N(K476)&gt;=3,G476&lt;&gt;"Perdido"),"Mover para Perdido",IF(Q476&lt;TODAY(),"Atrasado",IF(Q476=TODAY(),"Hoje","No prazo"))))</f>
        <v/>
      </c>
      <c r="S476" s="12"/>
      <c r="T476" s="12"/>
      <c r="U476" s="12"/>
      <c r="V476" s="7"/>
      <c r="W476" s="15" t="str">
        <f aca="true">IF(G476="","",IF(OR(G476="Novo contato",G476="Em conversa"),IF(J476="",TODAY(),J476+1),IF(G476="Avaliação marcada",IF(L476="",TODAY(),L476-1),IF(G476="Proposta enviada",IF(J476="",TODAY(),J476+2),IF(G476="Fechou pacote",IF(J476="",TODAY(),J476+7),IF(G476="Em tratamento",IF(M476="",TODAY(),IF(TODAY()&lt;=M476+1,M476+1,EDATE(M476,6)-30)),IF(G476="Pós-venda",IF(J476="",TODAY(),J476+7),IF(G476="Perdido",IF(J476="",TODAY(),J476+60),""))))))))</f>
        <v/>
      </c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13" t="str">
        <f aca="false">IF(OR(E477="",E477="A completar",E477="Ainda não sabe"),"",IF(OR(E477="Limpeza de pele",E477="Peeling de diamante",E477="Microagulhamento"),"Rosto","Corpo"))</f>
        <v/>
      </c>
      <c r="G477" s="12"/>
      <c r="H477" s="12"/>
      <c r="I477" s="12"/>
      <c r="J477" s="14"/>
      <c r="K477" s="12"/>
      <c r="L477" s="14"/>
      <c r="M477" s="14"/>
      <c r="N477" s="12"/>
      <c r="O477" s="12"/>
      <c r="P477" s="15" t="str">
        <f aca="false">IF(M477="","",EDATE(M477,6))</f>
        <v/>
      </c>
      <c r="Q477" s="15" t="str">
        <f aca="false">IF(W477="","",IF(WEEKDAY(W477)=1,W477+1,W477))</f>
        <v/>
      </c>
      <c r="R477" s="13" t="str">
        <f aca="true">IF(Q477="","",IF(AND(N(K477)&gt;=3,G477&lt;&gt;"Perdido"),"Mover para Perdido",IF(Q477&lt;TODAY(),"Atrasado",IF(Q477=TODAY(),"Hoje","No prazo"))))</f>
        <v/>
      </c>
      <c r="S477" s="12"/>
      <c r="T477" s="12"/>
      <c r="U477" s="12"/>
      <c r="V477" s="7"/>
      <c r="W477" s="15" t="str">
        <f aca="true">IF(G477="","",IF(OR(G477="Novo contato",G477="Em conversa"),IF(J477="",TODAY(),J477+1),IF(G477="Avaliação marcada",IF(L477="",TODAY(),L477-1),IF(G477="Proposta enviada",IF(J477="",TODAY(),J477+2),IF(G477="Fechou pacote",IF(J477="",TODAY(),J477+7),IF(G477="Em tratamento",IF(M477="",TODAY(),IF(TODAY()&lt;=M477+1,M477+1,EDATE(M477,6)-30)),IF(G477="Pós-venda",IF(J477="",TODAY(),J477+7),IF(G477="Perdido",IF(J477="",TODAY(),J477+60),""))))))))</f>
        <v/>
      </c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13" t="str">
        <f aca="false">IF(OR(E478="",E478="A completar",E478="Ainda não sabe"),"",IF(OR(E478="Limpeza de pele",E478="Peeling de diamante",E478="Microagulhamento"),"Rosto","Corpo"))</f>
        <v/>
      </c>
      <c r="G478" s="12"/>
      <c r="H478" s="12"/>
      <c r="I478" s="12"/>
      <c r="J478" s="14"/>
      <c r="K478" s="12"/>
      <c r="L478" s="14"/>
      <c r="M478" s="14"/>
      <c r="N478" s="12"/>
      <c r="O478" s="12"/>
      <c r="P478" s="15" t="str">
        <f aca="false">IF(M478="","",EDATE(M478,6))</f>
        <v/>
      </c>
      <c r="Q478" s="15" t="str">
        <f aca="false">IF(W478="","",IF(WEEKDAY(W478)=1,W478+1,W478))</f>
        <v/>
      </c>
      <c r="R478" s="13" t="str">
        <f aca="true">IF(Q478="","",IF(AND(N(K478)&gt;=3,G478&lt;&gt;"Perdido"),"Mover para Perdido",IF(Q478&lt;TODAY(),"Atrasado",IF(Q478=TODAY(),"Hoje","No prazo"))))</f>
        <v/>
      </c>
      <c r="S478" s="12"/>
      <c r="T478" s="12"/>
      <c r="U478" s="12"/>
      <c r="V478" s="7"/>
      <c r="W478" s="15" t="str">
        <f aca="true">IF(G478="","",IF(OR(G478="Novo contato",G478="Em conversa"),IF(J478="",TODAY(),J478+1),IF(G478="Avaliação marcada",IF(L478="",TODAY(),L478-1),IF(G478="Proposta enviada",IF(J478="",TODAY(),J478+2),IF(G478="Fechou pacote",IF(J478="",TODAY(),J478+7),IF(G478="Em tratamento",IF(M478="",TODAY(),IF(TODAY()&lt;=M478+1,M478+1,EDATE(M478,6)-30)),IF(G478="Pós-venda",IF(J478="",TODAY(),J478+7),IF(G478="Perdido",IF(J478="",TODAY(),J478+60),""))))))))</f>
        <v/>
      </c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13" t="str">
        <f aca="false">IF(OR(E479="",E479="A completar",E479="Ainda não sabe"),"",IF(OR(E479="Limpeza de pele",E479="Peeling de diamante",E479="Microagulhamento"),"Rosto","Corpo"))</f>
        <v/>
      </c>
      <c r="G479" s="12"/>
      <c r="H479" s="12"/>
      <c r="I479" s="12"/>
      <c r="J479" s="14"/>
      <c r="K479" s="12"/>
      <c r="L479" s="14"/>
      <c r="M479" s="14"/>
      <c r="N479" s="12"/>
      <c r="O479" s="12"/>
      <c r="P479" s="15" t="str">
        <f aca="false">IF(M479="","",EDATE(M479,6))</f>
        <v/>
      </c>
      <c r="Q479" s="15" t="str">
        <f aca="false">IF(W479="","",IF(WEEKDAY(W479)=1,W479+1,W479))</f>
        <v/>
      </c>
      <c r="R479" s="13" t="str">
        <f aca="true">IF(Q479="","",IF(AND(N(K479)&gt;=3,G479&lt;&gt;"Perdido"),"Mover para Perdido",IF(Q479&lt;TODAY(),"Atrasado",IF(Q479=TODAY(),"Hoje","No prazo"))))</f>
        <v/>
      </c>
      <c r="S479" s="12"/>
      <c r="T479" s="12"/>
      <c r="U479" s="12"/>
      <c r="V479" s="7"/>
      <c r="W479" s="15" t="str">
        <f aca="true">IF(G479="","",IF(OR(G479="Novo contato",G479="Em conversa"),IF(J479="",TODAY(),J479+1),IF(G479="Avaliação marcada",IF(L479="",TODAY(),L479-1),IF(G479="Proposta enviada",IF(J479="",TODAY(),J479+2),IF(G479="Fechou pacote",IF(J479="",TODAY(),J479+7),IF(G479="Em tratamento",IF(M479="",TODAY(),IF(TODAY()&lt;=M479+1,M479+1,EDATE(M479,6)-30)),IF(G479="Pós-venda",IF(J479="",TODAY(),J479+7),IF(G479="Perdido",IF(J479="",TODAY(),J479+60),""))))))))</f>
        <v/>
      </c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13" t="str">
        <f aca="false">IF(OR(E480="",E480="A completar",E480="Ainda não sabe"),"",IF(OR(E480="Limpeza de pele",E480="Peeling de diamante",E480="Microagulhamento"),"Rosto","Corpo"))</f>
        <v/>
      </c>
      <c r="G480" s="12"/>
      <c r="H480" s="12"/>
      <c r="I480" s="12"/>
      <c r="J480" s="14"/>
      <c r="K480" s="12"/>
      <c r="L480" s="14"/>
      <c r="M480" s="14"/>
      <c r="N480" s="12"/>
      <c r="O480" s="12"/>
      <c r="P480" s="15" t="str">
        <f aca="false">IF(M480="","",EDATE(M480,6))</f>
        <v/>
      </c>
      <c r="Q480" s="15" t="str">
        <f aca="false">IF(W480="","",IF(WEEKDAY(W480)=1,W480+1,W480))</f>
        <v/>
      </c>
      <c r="R480" s="13" t="str">
        <f aca="true">IF(Q480="","",IF(AND(N(K480)&gt;=3,G480&lt;&gt;"Perdido"),"Mover para Perdido",IF(Q480&lt;TODAY(),"Atrasado",IF(Q480=TODAY(),"Hoje","No prazo"))))</f>
        <v/>
      </c>
      <c r="S480" s="12"/>
      <c r="T480" s="12"/>
      <c r="U480" s="12"/>
      <c r="V480" s="7"/>
      <c r="W480" s="15" t="str">
        <f aca="true">IF(G480="","",IF(OR(G480="Novo contato",G480="Em conversa"),IF(J480="",TODAY(),J480+1),IF(G480="Avaliação marcada",IF(L480="",TODAY(),L480-1),IF(G480="Proposta enviada",IF(J480="",TODAY(),J480+2),IF(G480="Fechou pacote",IF(J480="",TODAY(),J480+7),IF(G480="Em tratamento",IF(M480="",TODAY(),IF(TODAY()&lt;=M480+1,M480+1,EDATE(M480,6)-30)),IF(G480="Pós-venda",IF(J480="",TODAY(),J480+7),IF(G480="Perdido",IF(J480="",TODAY(),J480+60),""))))))))</f>
        <v/>
      </c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13" t="str">
        <f aca="false">IF(OR(E481="",E481="A completar",E481="Ainda não sabe"),"",IF(OR(E481="Limpeza de pele",E481="Peeling de diamante",E481="Microagulhamento"),"Rosto","Corpo"))</f>
        <v/>
      </c>
      <c r="G481" s="12"/>
      <c r="H481" s="12"/>
      <c r="I481" s="12"/>
      <c r="J481" s="14"/>
      <c r="K481" s="12"/>
      <c r="L481" s="14"/>
      <c r="M481" s="14"/>
      <c r="N481" s="12"/>
      <c r="O481" s="12"/>
      <c r="P481" s="15" t="str">
        <f aca="false">IF(M481="","",EDATE(M481,6))</f>
        <v/>
      </c>
      <c r="Q481" s="15" t="str">
        <f aca="false">IF(W481="","",IF(WEEKDAY(W481)=1,W481+1,W481))</f>
        <v/>
      </c>
      <c r="R481" s="13" t="str">
        <f aca="true">IF(Q481="","",IF(AND(N(K481)&gt;=3,G481&lt;&gt;"Perdido"),"Mover para Perdido",IF(Q481&lt;TODAY(),"Atrasado",IF(Q481=TODAY(),"Hoje","No prazo"))))</f>
        <v/>
      </c>
      <c r="S481" s="12"/>
      <c r="T481" s="12"/>
      <c r="U481" s="12"/>
      <c r="V481" s="7"/>
      <c r="W481" s="15" t="str">
        <f aca="true">IF(G481="","",IF(OR(G481="Novo contato",G481="Em conversa"),IF(J481="",TODAY(),J481+1),IF(G481="Avaliação marcada",IF(L481="",TODAY(),L481-1),IF(G481="Proposta enviada",IF(J481="",TODAY(),J481+2),IF(G481="Fechou pacote",IF(J481="",TODAY(),J481+7),IF(G481="Em tratamento",IF(M481="",TODAY(),IF(TODAY()&lt;=M481+1,M481+1,EDATE(M481,6)-30)),IF(G481="Pós-venda",IF(J481="",TODAY(),J481+7),IF(G481="Perdido",IF(J481="",TODAY(),J481+60),""))))))))</f>
        <v/>
      </c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13" t="str">
        <f aca="false">IF(OR(E482="",E482="A completar",E482="Ainda não sabe"),"",IF(OR(E482="Limpeza de pele",E482="Peeling de diamante",E482="Microagulhamento"),"Rosto","Corpo"))</f>
        <v/>
      </c>
      <c r="G482" s="12"/>
      <c r="H482" s="12"/>
      <c r="I482" s="12"/>
      <c r="J482" s="14"/>
      <c r="K482" s="12"/>
      <c r="L482" s="14"/>
      <c r="M482" s="14"/>
      <c r="N482" s="12"/>
      <c r="O482" s="12"/>
      <c r="P482" s="15" t="str">
        <f aca="false">IF(M482="","",EDATE(M482,6))</f>
        <v/>
      </c>
      <c r="Q482" s="15" t="str">
        <f aca="false">IF(W482="","",IF(WEEKDAY(W482)=1,W482+1,W482))</f>
        <v/>
      </c>
      <c r="R482" s="13" t="str">
        <f aca="true">IF(Q482="","",IF(AND(N(K482)&gt;=3,G482&lt;&gt;"Perdido"),"Mover para Perdido",IF(Q482&lt;TODAY(),"Atrasado",IF(Q482=TODAY(),"Hoje","No prazo"))))</f>
        <v/>
      </c>
      <c r="S482" s="12"/>
      <c r="T482" s="12"/>
      <c r="U482" s="12"/>
      <c r="V482" s="7"/>
      <c r="W482" s="15" t="str">
        <f aca="true">IF(G482="","",IF(OR(G482="Novo contato",G482="Em conversa"),IF(J482="",TODAY(),J482+1),IF(G482="Avaliação marcada",IF(L482="",TODAY(),L482-1),IF(G482="Proposta enviada",IF(J482="",TODAY(),J482+2),IF(G482="Fechou pacote",IF(J482="",TODAY(),J482+7),IF(G482="Em tratamento",IF(M482="",TODAY(),IF(TODAY()&lt;=M482+1,M482+1,EDATE(M482,6)-30)),IF(G482="Pós-venda",IF(J482="",TODAY(),J482+7),IF(G482="Perdido",IF(J482="",TODAY(),J482+60),""))))))))</f>
        <v/>
      </c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13" t="str">
        <f aca="false">IF(OR(E483="",E483="A completar",E483="Ainda não sabe"),"",IF(OR(E483="Limpeza de pele",E483="Peeling de diamante",E483="Microagulhamento"),"Rosto","Corpo"))</f>
        <v/>
      </c>
      <c r="G483" s="12"/>
      <c r="H483" s="12"/>
      <c r="I483" s="12"/>
      <c r="J483" s="14"/>
      <c r="K483" s="12"/>
      <c r="L483" s="14"/>
      <c r="M483" s="14"/>
      <c r="N483" s="12"/>
      <c r="O483" s="12"/>
      <c r="P483" s="15" t="str">
        <f aca="false">IF(M483="","",EDATE(M483,6))</f>
        <v/>
      </c>
      <c r="Q483" s="15" t="str">
        <f aca="false">IF(W483="","",IF(WEEKDAY(W483)=1,W483+1,W483))</f>
        <v/>
      </c>
      <c r="R483" s="13" t="str">
        <f aca="true">IF(Q483="","",IF(AND(N(K483)&gt;=3,G483&lt;&gt;"Perdido"),"Mover para Perdido",IF(Q483&lt;TODAY(),"Atrasado",IF(Q483=TODAY(),"Hoje","No prazo"))))</f>
        <v/>
      </c>
      <c r="S483" s="12"/>
      <c r="T483" s="12"/>
      <c r="U483" s="12"/>
      <c r="V483" s="7"/>
      <c r="W483" s="15" t="str">
        <f aca="true">IF(G483="","",IF(OR(G483="Novo contato",G483="Em conversa"),IF(J483="",TODAY(),J483+1),IF(G483="Avaliação marcada",IF(L483="",TODAY(),L483-1),IF(G483="Proposta enviada",IF(J483="",TODAY(),J483+2),IF(G483="Fechou pacote",IF(J483="",TODAY(),J483+7),IF(G483="Em tratamento",IF(M483="",TODAY(),IF(TODAY()&lt;=M483+1,M483+1,EDATE(M483,6)-30)),IF(G483="Pós-venda",IF(J483="",TODAY(),J483+7),IF(G483="Perdido",IF(J483="",TODAY(),J483+60),""))))))))</f>
        <v/>
      </c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13" t="str">
        <f aca="false">IF(OR(E484="",E484="A completar",E484="Ainda não sabe"),"",IF(OR(E484="Limpeza de pele",E484="Peeling de diamante",E484="Microagulhamento"),"Rosto","Corpo"))</f>
        <v/>
      </c>
      <c r="G484" s="12"/>
      <c r="H484" s="12"/>
      <c r="I484" s="12"/>
      <c r="J484" s="14"/>
      <c r="K484" s="12"/>
      <c r="L484" s="14"/>
      <c r="M484" s="14"/>
      <c r="N484" s="12"/>
      <c r="O484" s="12"/>
      <c r="P484" s="15" t="str">
        <f aca="false">IF(M484="","",EDATE(M484,6))</f>
        <v/>
      </c>
      <c r="Q484" s="15" t="str">
        <f aca="false">IF(W484="","",IF(WEEKDAY(W484)=1,W484+1,W484))</f>
        <v/>
      </c>
      <c r="R484" s="13" t="str">
        <f aca="true">IF(Q484="","",IF(AND(N(K484)&gt;=3,G484&lt;&gt;"Perdido"),"Mover para Perdido",IF(Q484&lt;TODAY(),"Atrasado",IF(Q484=TODAY(),"Hoje","No prazo"))))</f>
        <v/>
      </c>
      <c r="S484" s="12"/>
      <c r="T484" s="12"/>
      <c r="U484" s="12"/>
      <c r="V484" s="7"/>
      <c r="W484" s="15" t="str">
        <f aca="true">IF(G484="","",IF(OR(G484="Novo contato",G484="Em conversa"),IF(J484="",TODAY(),J484+1),IF(G484="Avaliação marcada",IF(L484="",TODAY(),L484-1),IF(G484="Proposta enviada",IF(J484="",TODAY(),J484+2),IF(G484="Fechou pacote",IF(J484="",TODAY(),J484+7),IF(G484="Em tratamento",IF(M484="",TODAY(),IF(TODAY()&lt;=M484+1,M484+1,EDATE(M484,6)-30)),IF(G484="Pós-venda",IF(J484="",TODAY(),J484+7),IF(G484="Perdido",IF(J484="",TODAY(),J484+60),""))))))))</f>
        <v/>
      </c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13" t="str">
        <f aca="false">IF(OR(E485="",E485="A completar",E485="Ainda não sabe"),"",IF(OR(E485="Limpeza de pele",E485="Peeling de diamante",E485="Microagulhamento"),"Rosto","Corpo"))</f>
        <v/>
      </c>
      <c r="G485" s="12"/>
      <c r="H485" s="12"/>
      <c r="I485" s="12"/>
      <c r="J485" s="14"/>
      <c r="K485" s="12"/>
      <c r="L485" s="14"/>
      <c r="M485" s="14"/>
      <c r="N485" s="12"/>
      <c r="O485" s="12"/>
      <c r="P485" s="15" t="str">
        <f aca="false">IF(M485="","",EDATE(M485,6))</f>
        <v/>
      </c>
      <c r="Q485" s="15" t="str">
        <f aca="false">IF(W485="","",IF(WEEKDAY(W485)=1,W485+1,W485))</f>
        <v/>
      </c>
      <c r="R485" s="13" t="str">
        <f aca="true">IF(Q485="","",IF(AND(N(K485)&gt;=3,G485&lt;&gt;"Perdido"),"Mover para Perdido",IF(Q485&lt;TODAY(),"Atrasado",IF(Q485=TODAY(),"Hoje","No prazo"))))</f>
        <v/>
      </c>
      <c r="S485" s="12"/>
      <c r="T485" s="12"/>
      <c r="U485" s="12"/>
      <c r="V485" s="7"/>
      <c r="W485" s="15" t="str">
        <f aca="true">IF(G485="","",IF(OR(G485="Novo contato",G485="Em conversa"),IF(J485="",TODAY(),J485+1),IF(G485="Avaliação marcada",IF(L485="",TODAY(),L485-1),IF(G485="Proposta enviada",IF(J485="",TODAY(),J485+2),IF(G485="Fechou pacote",IF(J485="",TODAY(),J485+7),IF(G485="Em tratamento",IF(M485="",TODAY(),IF(TODAY()&lt;=M485+1,M485+1,EDATE(M485,6)-30)),IF(G485="Pós-venda",IF(J485="",TODAY(),J485+7),IF(G485="Perdido",IF(J485="",TODAY(),J485+60),""))))))))</f>
        <v/>
      </c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13" t="str">
        <f aca="false">IF(OR(E486="",E486="A completar",E486="Ainda não sabe"),"",IF(OR(E486="Limpeza de pele",E486="Peeling de diamante",E486="Microagulhamento"),"Rosto","Corpo"))</f>
        <v/>
      </c>
      <c r="G486" s="12"/>
      <c r="H486" s="12"/>
      <c r="I486" s="12"/>
      <c r="J486" s="14"/>
      <c r="K486" s="12"/>
      <c r="L486" s="14"/>
      <c r="M486" s="14"/>
      <c r="N486" s="12"/>
      <c r="O486" s="12"/>
      <c r="P486" s="15" t="str">
        <f aca="false">IF(M486="","",EDATE(M486,6))</f>
        <v/>
      </c>
      <c r="Q486" s="15" t="str">
        <f aca="false">IF(W486="","",IF(WEEKDAY(W486)=1,W486+1,W486))</f>
        <v/>
      </c>
      <c r="R486" s="13" t="str">
        <f aca="true">IF(Q486="","",IF(AND(N(K486)&gt;=3,G486&lt;&gt;"Perdido"),"Mover para Perdido",IF(Q486&lt;TODAY(),"Atrasado",IF(Q486=TODAY(),"Hoje","No prazo"))))</f>
        <v/>
      </c>
      <c r="S486" s="12"/>
      <c r="T486" s="12"/>
      <c r="U486" s="12"/>
      <c r="V486" s="7"/>
      <c r="W486" s="15" t="str">
        <f aca="true">IF(G486="","",IF(OR(G486="Novo contato",G486="Em conversa"),IF(J486="",TODAY(),J486+1),IF(G486="Avaliação marcada",IF(L486="",TODAY(),L486-1),IF(G486="Proposta enviada",IF(J486="",TODAY(),J486+2),IF(G486="Fechou pacote",IF(J486="",TODAY(),J486+7),IF(G486="Em tratamento",IF(M486="",TODAY(),IF(TODAY()&lt;=M486+1,M486+1,EDATE(M486,6)-30)),IF(G486="Pós-venda",IF(J486="",TODAY(),J486+7),IF(G486="Perdido",IF(J486="",TODAY(),J486+60),""))))))))</f>
        <v/>
      </c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13" t="str">
        <f aca="false">IF(OR(E487="",E487="A completar",E487="Ainda não sabe"),"",IF(OR(E487="Limpeza de pele",E487="Peeling de diamante",E487="Microagulhamento"),"Rosto","Corpo"))</f>
        <v/>
      </c>
      <c r="G487" s="12"/>
      <c r="H487" s="12"/>
      <c r="I487" s="12"/>
      <c r="J487" s="14"/>
      <c r="K487" s="12"/>
      <c r="L487" s="14"/>
      <c r="M487" s="14"/>
      <c r="N487" s="12"/>
      <c r="O487" s="12"/>
      <c r="P487" s="15" t="str">
        <f aca="false">IF(M487="","",EDATE(M487,6))</f>
        <v/>
      </c>
      <c r="Q487" s="15" t="str">
        <f aca="false">IF(W487="","",IF(WEEKDAY(W487)=1,W487+1,W487))</f>
        <v/>
      </c>
      <c r="R487" s="13" t="str">
        <f aca="true">IF(Q487="","",IF(AND(N(K487)&gt;=3,G487&lt;&gt;"Perdido"),"Mover para Perdido",IF(Q487&lt;TODAY(),"Atrasado",IF(Q487=TODAY(),"Hoje","No prazo"))))</f>
        <v/>
      </c>
      <c r="S487" s="12"/>
      <c r="T487" s="12"/>
      <c r="U487" s="12"/>
      <c r="V487" s="7"/>
      <c r="W487" s="15" t="str">
        <f aca="true">IF(G487="","",IF(OR(G487="Novo contato",G487="Em conversa"),IF(J487="",TODAY(),J487+1),IF(G487="Avaliação marcada",IF(L487="",TODAY(),L487-1),IF(G487="Proposta enviada",IF(J487="",TODAY(),J487+2),IF(G487="Fechou pacote",IF(J487="",TODAY(),J487+7),IF(G487="Em tratamento",IF(M487="",TODAY(),IF(TODAY()&lt;=M487+1,M487+1,EDATE(M487,6)-30)),IF(G487="Pós-venda",IF(J487="",TODAY(),J487+7),IF(G487="Perdido",IF(J487="",TODAY(),J487+60),""))))))))</f>
        <v/>
      </c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13" t="str">
        <f aca="false">IF(OR(E488="",E488="A completar",E488="Ainda não sabe"),"",IF(OR(E488="Limpeza de pele",E488="Peeling de diamante",E488="Microagulhamento"),"Rosto","Corpo"))</f>
        <v/>
      </c>
      <c r="G488" s="12"/>
      <c r="H488" s="12"/>
      <c r="I488" s="12"/>
      <c r="J488" s="14"/>
      <c r="K488" s="12"/>
      <c r="L488" s="14"/>
      <c r="M488" s="14"/>
      <c r="N488" s="12"/>
      <c r="O488" s="12"/>
      <c r="P488" s="15" t="str">
        <f aca="false">IF(M488="","",EDATE(M488,6))</f>
        <v/>
      </c>
      <c r="Q488" s="15" t="str">
        <f aca="false">IF(W488="","",IF(WEEKDAY(W488)=1,W488+1,W488))</f>
        <v/>
      </c>
      <c r="R488" s="13" t="str">
        <f aca="true">IF(Q488="","",IF(AND(N(K488)&gt;=3,G488&lt;&gt;"Perdido"),"Mover para Perdido",IF(Q488&lt;TODAY(),"Atrasado",IF(Q488=TODAY(),"Hoje","No prazo"))))</f>
        <v/>
      </c>
      <c r="S488" s="12"/>
      <c r="T488" s="12"/>
      <c r="U488" s="12"/>
      <c r="V488" s="7"/>
      <c r="W488" s="15" t="str">
        <f aca="true">IF(G488="","",IF(OR(G488="Novo contato",G488="Em conversa"),IF(J488="",TODAY(),J488+1),IF(G488="Avaliação marcada",IF(L488="",TODAY(),L488-1),IF(G488="Proposta enviada",IF(J488="",TODAY(),J488+2),IF(G488="Fechou pacote",IF(J488="",TODAY(),J488+7),IF(G488="Em tratamento",IF(M488="",TODAY(),IF(TODAY()&lt;=M488+1,M488+1,EDATE(M488,6)-30)),IF(G488="Pós-venda",IF(J488="",TODAY(),J488+7),IF(G488="Perdido",IF(J488="",TODAY(),J488+60),""))))))))</f>
        <v/>
      </c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13" t="str">
        <f aca="false">IF(OR(E489="",E489="A completar",E489="Ainda não sabe"),"",IF(OR(E489="Limpeza de pele",E489="Peeling de diamante",E489="Microagulhamento"),"Rosto","Corpo"))</f>
        <v/>
      </c>
      <c r="G489" s="12"/>
      <c r="H489" s="12"/>
      <c r="I489" s="12"/>
      <c r="J489" s="14"/>
      <c r="K489" s="12"/>
      <c r="L489" s="14"/>
      <c r="M489" s="14"/>
      <c r="N489" s="12"/>
      <c r="O489" s="12"/>
      <c r="P489" s="15" t="str">
        <f aca="false">IF(M489="","",EDATE(M489,6))</f>
        <v/>
      </c>
      <c r="Q489" s="15" t="str">
        <f aca="false">IF(W489="","",IF(WEEKDAY(W489)=1,W489+1,W489))</f>
        <v/>
      </c>
      <c r="R489" s="13" t="str">
        <f aca="true">IF(Q489="","",IF(AND(N(K489)&gt;=3,G489&lt;&gt;"Perdido"),"Mover para Perdido",IF(Q489&lt;TODAY(),"Atrasado",IF(Q489=TODAY(),"Hoje","No prazo"))))</f>
        <v/>
      </c>
      <c r="S489" s="12"/>
      <c r="T489" s="12"/>
      <c r="U489" s="12"/>
      <c r="V489" s="7"/>
      <c r="W489" s="15" t="str">
        <f aca="true">IF(G489="","",IF(OR(G489="Novo contato",G489="Em conversa"),IF(J489="",TODAY(),J489+1),IF(G489="Avaliação marcada",IF(L489="",TODAY(),L489-1),IF(G489="Proposta enviada",IF(J489="",TODAY(),J489+2),IF(G489="Fechou pacote",IF(J489="",TODAY(),J489+7),IF(G489="Em tratamento",IF(M489="",TODAY(),IF(TODAY()&lt;=M489+1,M489+1,EDATE(M489,6)-30)),IF(G489="Pós-venda",IF(J489="",TODAY(),J489+7),IF(G489="Perdido",IF(J489="",TODAY(),J489+60),""))))))))</f>
        <v/>
      </c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13" t="str">
        <f aca="false">IF(OR(E490="",E490="A completar",E490="Ainda não sabe"),"",IF(OR(E490="Limpeza de pele",E490="Peeling de diamante",E490="Microagulhamento"),"Rosto","Corpo"))</f>
        <v/>
      </c>
      <c r="G490" s="12"/>
      <c r="H490" s="12"/>
      <c r="I490" s="12"/>
      <c r="J490" s="14"/>
      <c r="K490" s="12"/>
      <c r="L490" s="14"/>
      <c r="M490" s="14"/>
      <c r="N490" s="12"/>
      <c r="O490" s="12"/>
      <c r="P490" s="15" t="str">
        <f aca="false">IF(M490="","",EDATE(M490,6))</f>
        <v/>
      </c>
      <c r="Q490" s="15" t="str">
        <f aca="false">IF(W490="","",IF(WEEKDAY(W490)=1,W490+1,W490))</f>
        <v/>
      </c>
      <c r="R490" s="13" t="str">
        <f aca="true">IF(Q490="","",IF(AND(N(K490)&gt;=3,G490&lt;&gt;"Perdido"),"Mover para Perdido",IF(Q490&lt;TODAY(),"Atrasado",IF(Q490=TODAY(),"Hoje","No prazo"))))</f>
        <v/>
      </c>
      <c r="S490" s="12"/>
      <c r="T490" s="12"/>
      <c r="U490" s="12"/>
      <c r="V490" s="7"/>
      <c r="W490" s="15" t="str">
        <f aca="true">IF(G490="","",IF(OR(G490="Novo contato",G490="Em conversa"),IF(J490="",TODAY(),J490+1),IF(G490="Avaliação marcada",IF(L490="",TODAY(),L490-1),IF(G490="Proposta enviada",IF(J490="",TODAY(),J490+2),IF(G490="Fechou pacote",IF(J490="",TODAY(),J490+7),IF(G490="Em tratamento",IF(M490="",TODAY(),IF(TODAY()&lt;=M490+1,M490+1,EDATE(M490,6)-30)),IF(G490="Pós-venda",IF(J490="",TODAY(),J490+7),IF(G490="Perdido",IF(J490="",TODAY(),J490+60),""))))))))</f>
        <v/>
      </c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13" t="str">
        <f aca="false">IF(OR(E491="",E491="A completar",E491="Ainda não sabe"),"",IF(OR(E491="Limpeza de pele",E491="Peeling de diamante",E491="Microagulhamento"),"Rosto","Corpo"))</f>
        <v/>
      </c>
      <c r="G491" s="12"/>
      <c r="H491" s="12"/>
      <c r="I491" s="12"/>
      <c r="J491" s="14"/>
      <c r="K491" s="12"/>
      <c r="L491" s="14"/>
      <c r="M491" s="14"/>
      <c r="N491" s="12"/>
      <c r="O491" s="12"/>
      <c r="P491" s="15" t="str">
        <f aca="false">IF(M491="","",EDATE(M491,6))</f>
        <v/>
      </c>
      <c r="Q491" s="15" t="str">
        <f aca="false">IF(W491="","",IF(WEEKDAY(W491)=1,W491+1,W491))</f>
        <v/>
      </c>
      <c r="R491" s="13" t="str">
        <f aca="true">IF(Q491="","",IF(AND(N(K491)&gt;=3,G491&lt;&gt;"Perdido"),"Mover para Perdido",IF(Q491&lt;TODAY(),"Atrasado",IF(Q491=TODAY(),"Hoje","No prazo"))))</f>
        <v/>
      </c>
      <c r="S491" s="12"/>
      <c r="T491" s="12"/>
      <c r="U491" s="12"/>
      <c r="V491" s="7"/>
      <c r="W491" s="15" t="str">
        <f aca="true">IF(G491="","",IF(OR(G491="Novo contato",G491="Em conversa"),IF(J491="",TODAY(),J491+1),IF(G491="Avaliação marcada",IF(L491="",TODAY(),L491-1),IF(G491="Proposta enviada",IF(J491="",TODAY(),J491+2),IF(G491="Fechou pacote",IF(J491="",TODAY(),J491+7),IF(G491="Em tratamento",IF(M491="",TODAY(),IF(TODAY()&lt;=M491+1,M491+1,EDATE(M491,6)-30)),IF(G491="Pós-venda",IF(J491="",TODAY(),J491+7),IF(G491="Perdido",IF(J491="",TODAY(),J491+60),""))))))))</f>
        <v/>
      </c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13" t="str">
        <f aca="false">IF(OR(E492="",E492="A completar",E492="Ainda não sabe"),"",IF(OR(E492="Limpeza de pele",E492="Peeling de diamante",E492="Microagulhamento"),"Rosto","Corpo"))</f>
        <v/>
      </c>
      <c r="G492" s="12"/>
      <c r="H492" s="12"/>
      <c r="I492" s="12"/>
      <c r="J492" s="14"/>
      <c r="K492" s="12"/>
      <c r="L492" s="14"/>
      <c r="M492" s="14"/>
      <c r="N492" s="12"/>
      <c r="O492" s="12"/>
      <c r="P492" s="15" t="str">
        <f aca="false">IF(M492="","",EDATE(M492,6))</f>
        <v/>
      </c>
      <c r="Q492" s="15" t="str">
        <f aca="false">IF(W492="","",IF(WEEKDAY(W492)=1,W492+1,W492))</f>
        <v/>
      </c>
      <c r="R492" s="13" t="str">
        <f aca="true">IF(Q492="","",IF(AND(N(K492)&gt;=3,G492&lt;&gt;"Perdido"),"Mover para Perdido",IF(Q492&lt;TODAY(),"Atrasado",IF(Q492=TODAY(),"Hoje","No prazo"))))</f>
        <v/>
      </c>
      <c r="S492" s="12"/>
      <c r="T492" s="12"/>
      <c r="U492" s="12"/>
      <c r="V492" s="7"/>
      <c r="W492" s="15" t="str">
        <f aca="true">IF(G492="","",IF(OR(G492="Novo contato",G492="Em conversa"),IF(J492="",TODAY(),J492+1),IF(G492="Avaliação marcada",IF(L492="",TODAY(),L492-1),IF(G492="Proposta enviada",IF(J492="",TODAY(),J492+2),IF(G492="Fechou pacote",IF(J492="",TODAY(),J492+7),IF(G492="Em tratamento",IF(M492="",TODAY(),IF(TODAY()&lt;=M492+1,M492+1,EDATE(M492,6)-30)),IF(G492="Pós-venda",IF(J492="",TODAY(),J492+7),IF(G492="Perdido",IF(J492="",TODAY(),J492+60),""))))))))</f>
        <v/>
      </c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13" t="str">
        <f aca="false">IF(OR(E493="",E493="A completar",E493="Ainda não sabe"),"",IF(OR(E493="Limpeza de pele",E493="Peeling de diamante",E493="Microagulhamento"),"Rosto","Corpo"))</f>
        <v/>
      </c>
      <c r="G493" s="12"/>
      <c r="H493" s="12"/>
      <c r="I493" s="12"/>
      <c r="J493" s="14"/>
      <c r="K493" s="12"/>
      <c r="L493" s="14"/>
      <c r="M493" s="14"/>
      <c r="N493" s="12"/>
      <c r="O493" s="12"/>
      <c r="P493" s="15" t="str">
        <f aca="false">IF(M493="","",EDATE(M493,6))</f>
        <v/>
      </c>
      <c r="Q493" s="15" t="str">
        <f aca="false">IF(W493="","",IF(WEEKDAY(W493)=1,W493+1,W493))</f>
        <v/>
      </c>
      <c r="R493" s="13" t="str">
        <f aca="true">IF(Q493="","",IF(AND(N(K493)&gt;=3,G493&lt;&gt;"Perdido"),"Mover para Perdido",IF(Q493&lt;TODAY(),"Atrasado",IF(Q493=TODAY(),"Hoje","No prazo"))))</f>
        <v/>
      </c>
      <c r="S493" s="12"/>
      <c r="T493" s="12"/>
      <c r="U493" s="12"/>
      <c r="V493" s="7"/>
      <c r="W493" s="15" t="str">
        <f aca="true">IF(G493="","",IF(OR(G493="Novo contato",G493="Em conversa"),IF(J493="",TODAY(),J493+1),IF(G493="Avaliação marcada",IF(L493="",TODAY(),L493-1),IF(G493="Proposta enviada",IF(J493="",TODAY(),J493+2),IF(G493="Fechou pacote",IF(J493="",TODAY(),J493+7),IF(G493="Em tratamento",IF(M493="",TODAY(),IF(TODAY()&lt;=M493+1,M493+1,EDATE(M493,6)-30)),IF(G493="Pós-venda",IF(J493="",TODAY(),J493+7),IF(G493="Perdido",IF(J493="",TODAY(),J493+60),""))))))))</f>
        <v/>
      </c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13" t="str">
        <f aca="false">IF(OR(E494="",E494="A completar",E494="Ainda não sabe"),"",IF(OR(E494="Limpeza de pele",E494="Peeling de diamante",E494="Microagulhamento"),"Rosto","Corpo"))</f>
        <v/>
      </c>
      <c r="G494" s="12"/>
      <c r="H494" s="12"/>
      <c r="I494" s="12"/>
      <c r="J494" s="14"/>
      <c r="K494" s="12"/>
      <c r="L494" s="14"/>
      <c r="M494" s="14"/>
      <c r="N494" s="12"/>
      <c r="O494" s="12"/>
      <c r="P494" s="15" t="str">
        <f aca="false">IF(M494="","",EDATE(M494,6))</f>
        <v/>
      </c>
      <c r="Q494" s="15" t="str">
        <f aca="false">IF(W494="","",IF(WEEKDAY(W494)=1,W494+1,W494))</f>
        <v/>
      </c>
      <c r="R494" s="13" t="str">
        <f aca="true">IF(Q494="","",IF(AND(N(K494)&gt;=3,G494&lt;&gt;"Perdido"),"Mover para Perdido",IF(Q494&lt;TODAY(),"Atrasado",IF(Q494=TODAY(),"Hoje","No prazo"))))</f>
        <v/>
      </c>
      <c r="S494" s="12"/>
      <c r="T494" s="12"/>
      <c r="U494" s="12"/>
      <c r="V494" s="7"/>
      <c r="W494" s="15" t="str">
        <f aca="true">IF(G494="","",IF(OR(G494="Novo contato",G494="Em conversa"),IF(J494="",TODAY(),J494+1),IF(G494="Avaliação marcada",IF(L494="",TODAY(),L494-1),IF(G494="Proposta enviada",IF(J494="",TODAY(),J494+2),IF(G494="Fechou pacote",IF(J494="",TODAY(),J494+7),IF(G494="Em tratamento",IF(M494="",TODAY(),IF(TODAY()&lt;=M494+1,M494+1,EDATE(M494,6)-30)),IF(G494="Pós-venda",IF(J494="",TODAY(),J494+7),IF(G494="Perdido",IF(J494="",TODAY(),J494+60),""))))))))</f>
        <v/>
      </c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13" t="str">
        <f aca="false">IF(OR(E495="",E495="A completar",E495="Ainda não sabe"),"",IF(OR(E495="Limpeza de pele",E495="Peeling de diamante",E495="Microagulhamento"),"Rosto","Corpo"))</f>
        <v/>
      </c>
      <c r="G495" s="12"/>
      <c r="H495" s="12"/>
      <c r="I495" s="12"/>
      <c r="J495" s="14"/>
      <c r="K495" s="12"/>
      <c r="L495" s="14"/>
      <c r="M495" s="14"/>
      <c r="N495" s="12"/>
      <c r="O495" s="12"/>
      <c r="P495" s="15" t="str">
        <f aca="false">IF(M495="","",EDATE(M495,6))</f>
        <v/>
      </c>
      <c r="Q495" s="15" t="str">
        <f aca="false">IF(W495="","",IF(WEEKDAY(W495)=1,W495+1,W495))</f>
        <v/>
      </c>
      <c r="R495" s="13" t="str">
        <f aca="true">IF(Q495="","",IF(AND(N(K495)&gt;=3,G495&lt;&gt;"Perdido"),"Mover para Perdido",IF(Q495&lt;TODAY(),"Atrasado",IF(Q495=TODAY(),"Hoje","No prazo"))))</f>
        <v/>
      </c>
      <c r="S495" s="12"/>
      <c r="T495" s="12"/>
      <c r="U495" s="12"/>
      <c r="V495" s="7"/>
      <c r="W495" s="15" t="str">
        <f aca="true">IF(G495="","",IF(OR(G495="Novo contato",G495="Em conversa"),IF(J495="",TODAY(),J495+1),IF(G495="Avaliação marcada",IF(L495="",TODAY(),L495-1),IF(G495="Proposta enviada",IF(J495="",TODAY(),J495+2),IF(G495="Fechou pacote",IF(J495="",TODAY(),J495+7),IF(G495="Em tratamento",IF(M495="",TODAY(),IF(TODAY()&lt;=M495+1,M495+1,EDATE(M495,6)-30)),IF(G495="Pós-venda",IF(J495="",TODAY(),J495+7),IF(G495="Perdido",IF(J495="",TODAY(),J495+60),""))))))))</f>
        <v/>
      </c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13" t="str">
        <f aca="false">IF(OR(E496="",E496="A completar",E496="Ainda não sabe"),"",IF(OR(E496="Limpeza de pele",E496="Peeling de diamante",E496="Microagulhamento"),"Rosto","Corpo"))</f>
        <v/>
      </c>
      <c r="G496" s="12"/>
      <c r="H496" s="12"/>
      <c r="I496" s="12"/>
      <c r="J496" s="14"/>
      <c r="K496" s="12"/>
      <c r="L496" s="14"/>
      <c r="M496" s="14"/>
      <c r="N496" s="12"/>
      <c r="O496" s="12"/>
      <c r="P496" s="15" t="str">
        <f aca="false">IF(M496="","",EDATE(M496,6))</f>
        <v/>
      </c>
      <c r="Q496" s="15" t="str">
        <f aca="false">IF(W496="","",IF(WEEKDAY(W496)=1,W496+1,W496))</f>
        <v/>
      </c>
      <c r="R496" s="13" t="str">
        <f aca="true">IF(Q496="","",IF(AND(N(K496)&gt;=3,G496&lt;&gt;"Perdido"),"Mover para Perdido",IF(Q496&lt;TODAY(),"Atrasado",IF(Q496=TODAY(),"Hoje","No prazo"))))</f>
        <v/>
      </c>
      <c r="S496" s="12"/>
      <c r="T496" s="12"/>
      <c r="U496" s="12"/>
      <c r="V496" s="7"/>
      <c r="W496" s="15" t="str">
        <f aca="true">IF(G496="","",IF(OR(G496="Novo contato",G496="Em conversa"),IF(J496="",TODAY(),J496+1),IF(G496="Avaliação marcada",IF(L496="",TODAY(),L496-1),IF(G496="Proposta enviada",IF(J496="",TODAY(),J496+2),IF(G496="Fechou pacote",IF(J496="",TODAY(),J496+7),IF(G496="Em tratamento",IF(M496="",TODAY(),IF(TODAY()&lt;=M496+1,M496+1,EDATE(M496,6)-30)),IF(G496="Pós-venda",IF(J496="",TODAY(),J496+7),IF(G496="Perdido",IF(J496="",TODAY(),J496+60),""))))))))</f>
        <v/>
      </c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13" t="str">
        <f aca="false">IF(OR(E497="",E497="A completar",E497="Ainda não sabe"),"",IF(OR(E497="Limpeza de pele",E497="Peeling de diamante",E497="Microagulhamento"),"Rosto","Corpo"))</f>
        <v/>
      </c>
      <c r="G497" s="12"/>
      <c r="H497" s="12"/>
      <c r="I497" s="12"/>
      <c r="J497" s="14"/>
      <c r="K497" s="12"/>
      <c r="L497" s="14"/>
      <c r="M497" s="14"/>
      <c r="N497" s="12"/>
      <c r="O497" s="12"/>
      <c r="P497" s="15" t="str">
        <f aca="false">IF(M497="","",EDATE(M497,6))</f>
        <v/>
      </c>
      <c r="Q497" s="15" t="str">
        <f aca="false">IF(W497="","",IF(WEEKDAY(W497)=1,W497+1,W497))</f>
        <v/>
      </c>
      <c r="R497" s="13" t="str">
        <f aca="true">IF(Q497="","",IF(AND(N(K497)&gt;=3,G497&lt;&gt;"Perdido"),"Mover para Perdido",IF(Q497&lt;TODAY(),"Atrasado",IF(Q497=TODAY(),"Hoje","No prazo"))))</f>
        <v/>
      </c>
      <c r="S497" s="12"/>
      <c r="T497" s="12"/>
      <c r="U497" s="12"/>
      <c r="V497" s="7"/>
      <c r="W497" s="15" t="str">
        <f aca="true">IF(G497="","",IF(OR(G497="Novo contato",G497="Em conversa"),IF(J497="",TODAY(),J497+1),IF(G497="Avaliação marcada",IF(L497="",TODAY(),L497-1),IF(G497="Proposta enviada",IF(J497="",TODAY(),J497+2),IF(G497="Fechou pacote",IF(J497="",TODAY(),J497+7),IF(G497="Em tratamento",IF(M497="",TODAY(),IF(TODAY()&lt;=M497+1,M497+1,EDATE(M497,6)-30)),IF(G497="Pós-venda",IF(J497="",TODAY(),J497+7),IF(G497="Perdido",IF(J497="",TODAY(),J497+60),""))))))))</f>
        <v/>
      </c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13" t="str">
        <f aca="false">IF(OR(E498="",E498="A completar",E498="Ainda não sabe"),"",IF(OR(E498="Limpeza de pele",E498="Peeling de diamante",E498="Microagulhamento"),"Rosto","Corpo"))</f>
        <v/>
      </c>
      <c r="G498" s="12"/>
      <c r="H498" s="12"/>
      <c r="I498" s="12"/>
      <c r="J498" s="14"/>
      <c r="K498" s="12"/>
      <c r="L498" s="14"/>
      <c r="M498" s="14"/>
      <c r="N498" s="12"/>
      <c r="O498" s="12"/>
      <c r="P498" s="15" t="str">
        <f aca="false">IF(M498="","",EDATE(M498,6))</f>
        <v/>
      </c>
      <c r="Q498" s="15" t="str">
        <f aca="false">IF(W498="","",IF(WEEKDAY(W498)=1,W498+1,W498))</f>
        <v/>
      </c>
      <c r="R498" s="13" t="str">
        <f aca="true">IF(Q498="","",IF(AND(N(K498)&gt;=3,G498&lt;&gt;"Perdido"),"Mover para Perdido",IF(Q498&lt;TODAY(),"Atrasado",IF(Q498=TODAY(),"Hoje","No prazo"))))</f>
        <v/>
      </c>
      <c r="S498" s="12"/>
      <c r="T498" s="12"/>
      <c r="U498" s="12"/>
      <c r="V498" s="7"/>
      <c r="W498" s="15" t="str">
        <f aca="true">IF(G498="","",IF(OR(G498="Novo contato",G498="Em conversa"),IF(J498="",TODAY(),J498+1),IF(G498="Avaliação marcada",IF(L498="",TODAY(),L498-1),IF(G498="Proposta enviada",IF(J498="",TODAY(),J498+2),IF(G498="Fechou pacote",IF(J498="",TODAY(),J498+7),IF(G498="Em tratamento",IF(M498="",TODAY(),IF(TODAY()&lt;=M498+1,M498+1,EDATE(M498,6)-30)),IF(G498="Pós-venda",IF(J498="",TODAY(),J498+7),IF(G498="Perdido",IF(J498="",TODAY(),J498+60),""))))))))</f>
        <v/>
      </c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13" t="str">
        <f aca="false">IF(OR(E499="",E499="A completar",E499="Ainda não sabe"),"",IF(OR(E499="Limpeza de pele",E499="Peeling de diamante",E499="Microagulhamento"),"Rosto","Corpo"))</f>
        <v/>
      </c>
      <c r="G499" s="12"/>
      <c r="H499" s="12"/>
      <c r="I499" s="12"/>
      <c r="J499" s="14"/>
      <c r="K499" s="12"/>
      <c r="L499" s="14"/>
      <c r="M499" s="14"/>
      <c r="N499" s="12"/>
      <c r="O499" s="12"/>
      <c r="P499" s="15" t="str">
        <f aca="false">IF(M499="","",EDATE(M499,6))</f>
        <v/>
      </c>
      <c r="Q499" s="15" t="str">
        <f aca="false">IF(W499="","",IF(WEEKDAY(W499)=1,W499+1,W499))</f>
        <v/>
      </c>
      <c r="R499" s="13" t="str">
        <f aca="true">IF(Q499="","",IF(AND(N(K499)&gt;=3,G499&lt;&gt;"Perdido"),"Mover para Perdido",IF(Q499&lt;TODAY(),"Atrasado",IF(Q499=TODAY(),"Hoje","No prazo"))))</f>
        <v/>
      </c>
      <c r="S499" s="12"/>
      <c r="T499" s="12"/>
      <c r="U499" s="12"/>
      <c r="V499" s="7"/>
      <c r="W499" s="15" t="str">
        <f aca="true">IF(G499="","",IF(OR(G499="Novo contato",G499="Em conversa"),IF(J499="",TODAY(),J499+1),IF(G499="Avaliação marcada",IF(L499="",TODAY(),L499-1),IF(G499="Proposta enviada",IF(J499="",TODAY(),J499+2),IF(G499="Fechou pacote",IF(J499="",TODAY(),J499+7),IF(G499="Em tratamento",IF(M499="",TODAY(),IF(TODAY()&lt;=M499+1,M499+1,EDATE(M499,6)-30)),IF(G499="Pós-venda",IF(J499="",TODAY(),J499+7),IF(G499="Perdido",IF(J499="",TODAY(),J499+60),""))))))))</f>
        <v/>
      </c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13" t="str">
        <f aca="false">IF(OR(E500="",E500="A completar",E500="Ainda não sabe"),"",IF(OR(E500="Limpeza de pele",E500="Peeling de diamante",E500="Microagulhamento"),"Rosto","Corpo"))</f>
        <v/>
      </c>
      <c r="G500" s="12"/>
      <c r="H500" s="12"/>
      <c r="I500" s="12"/>
      <c r="J500" s="14"/>
      <c r="K500" s="12"/>
      <c r="L500" s="14"/>
      <c r="M500" s="14"/>
      <c r="N500" s="12"/>
      <c r="O500" s="12"/>
      <c r="P500" s="15" t="str">
        <f aca="false">IF(M500="","",EDATE(M500,6))</f>
        <v/>
      </c>
      <c r="Q500" s="15" t="str">
        <f aca="false">IF(W500="","",IF(WEEKDAY(W500)=1,W500+1,W500))</f>
        <v/>
      </c>
      <c r="R500" s="13" t="str">
        <f aca="true">IF(Q500="","",IF(AND(N(K500)&gt;=3,G500&lt;&gt;"Perdido"),"Mover para Perdido",IF(Q500&lt;TODAY(),"Atrasado",IF(Q500=TODAY(),"Hoje","No prazo"))))</f>
        <v/>
      </c>
      <c r="S500" s="12"/>
      <c r="T500" s="12"/>
      <c r="U500" s="12"/>
      <c r="V500" s="7"/>
      <c r="W500" s="15" t="str">
        <f aca="true">IF(G500="","",IF(OR(G500="Novo contato",G500="Em conversa"),IF(J500="",TODAY(),J500+1),IF(G500="Avaliação marcada",IF(L500="",TODAY(),L500-1),IF(G500="Proposta enviada",IF(J500="",TODAY(),J500+2),IF(G500="Fechou pacote",IF(J500="",TODAY(),J500+7),IF(G500="Em tratamento",IF(M500="",TODAY(),IF(TODAY()&lt;=M500+1,M500+1,EDATE(M500,6)-30)),IF(G500="Pós-venda",IF(J500="",TODAY(),J500+7),IF(G500="Perdido",IF(J500="",TODAY(),J500+60),""))))))))</f>
        <v/>
      </c>
    </row>
  </sheetData>
  <autoFilter ref="A1:V500"/>
  <conditionalFormatting sqref="R2:R500">
    <cfRule type="expression" priority="2" aboveAverage="0" equalAverage="0" bottom="0" percent="0" rank="0" text="" dxfId="11">
      <formula>$R2="Atrasado"</formula>
    </cfRule>
    <cfRule type="expression" priority="3" aboveAverage="0" equalAverage="0" bottom="0" percent="0" rank="0" text="" dxfId="12">
      <formula>$R2="Hoje"</formula>
    </cfRule>
    <cfRule type="expression" priority="4" aboveAverage="0" equalAverage="0" bottom="0" percent="0" rank="0" text="" dxfId="13">
      <formula>$R2="Mover para Perdido"</formula>
    </cfRule>
    <cfRule type="expression" priority="5" aboveAverage="0" equalAverage="0" bottom="0" percent="0" rank="0" text="" dxfId="14">
      <formula>$R2="No prazo"</formula>
    </cfRule>
  </conditionalFormatting>
  <dataValidations count="7">
    <dataValidation allowBlank="true" error="Escolha uma opção do menu." errorStyle="stop" errorTitle="Opção fora da lista" operator="between" showDropDown="false" showErrorMessage="true" showInputMessage="false" sqref="G2:G500" type="list">
      <formula1>Listas!$A$5:$A$22</formula1>
      <formula2>0</formula2>
    </dataValidation>
    <dataValidation allowBlank="true" error="Escolha uma opção do menu." errorStyle="stop" errorTitle="Opção fora da lista" operator="between" showDropDown="false" showErrorMessage="true" showInputMessage="false" sqref="C2:C500" type="list">
      <formula1>Listas!$B$5:$B$21</formula1>
      <formula2>0</formula2>
    </dataValidation>
    <dataValidation allowBlank="true" error="Escolha uma opção do menu." errorStyle="stop" errorTitle="Opção fora da lista" operator="between" showDropDown="false" showErrorMessage="true" showInputMessage="false" sqref="E2:E500" type="list">
      <formula1>Listas!$C$5:$C$23</formula1>
      <formula2>0</formula2>
    </dataValidation>
    <dataValidation allowBlank="true" error="Escolha uma opção do menu." errorStyle="stop" errorTitle="Opção fora da lista" operator="between" showDropDown="false" showErrorMessage="true" showInputMessage="false" sqref="H2:H500" type="list">
      <formula1>Listas!$D$5:$D$17</formula1>
      <formula2>0</formula2>
    </dataValidation>
    <dataValidation allowBlank="true" error="Escolha uma opção do menu." errorStyle="stop" errorTitle="Opção fora da lista" operator="between" showDropDown="false" showErrorMessage="true" showInputMessage="false" sqref="I2:I500" type="list">
      <formula1>Listas!$E$5:$E$18</formula1>
      <formula2>0</formula2>
    </dataValidation>
    <dataValidation allowBlank="true" error="Escolha uma opção do menu." errorStyle="stop" errorTitle="Opção fora da lista" operator="between" showDropDown="false" showErrorMessage="true" showInputMessage="false" sqref="T2:T500" type="list">
      <formula1>Listas!$F$5:$F$20</formula1>
      <formula2>0</formula2>
    </dataValidation>
    <dataValidation allowBlank="true" error="Use um número de 0 a 3." errorStyle="stop" operator="between" showDropDown="false" showErrorMessage="true" showInputMessage="false" sqref="K2:K500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42"/>
  </cols>
  <sheetData>
    <row r="1" customFormat="false" ht="19.7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11" t="s">
        <v>286</v>
      </c>
      <c r="B4" s="11" t="s">
        <v>77</v>
      </c>
      <c r="C4" s="11" t="s">
        <v>287</v>
      </c>
      <c r="D4" s="11" t="s">
        <v>288</v>
      </c>
      <c r="E4" s="11" t="s">
        <v>289</v>
      </c>
    </row>
    <row r="5" customFormat="false" ht="23.85" hidden="false" customHeight="false" outlineLevel="0" collapsed="false">
      <c r="A5" s="16" t="n">
        <v>1</v>
      </c>
      <c r="B5" s="17" t="s">
        <v>44</v>
      </c>
      <c r="C5" s="17" t="s">
        <v>290</v>
      </c>
      <c r="D5" s="17" t="s">
        <v>97</v>
      </c>
      <c r="E5" s="17" t="s">
        <v>137</v>
      </c>
    </row>
    <row r="6" customFormat="false" ht="23.85" hidden="false" customHeight="false" outlineLevel="0" collapsed="false">
      <c r="A6" s="18" t="n">
        <v>2</v>
      </c>
      <c r="B6" s="19" t="s">
        <v>46</v>
      </c>
      <c r="C6" s="19" t="s">
        <v>291</v>
      </c>
      <c r="D6" s="19" t="s">
        <v>97</v>
      </c>
      <c r="E6" s="19" t="s">
        <v>292</v>
      </c>
    </row>
    <row r="7" customFormat="false" ht="15" hidden="false" customHeight="false" outlineLevel="0" collapsed="false">
      <c r="A7" s="16" t="n">
        <v>3</v>
      </c>
      <c r="B7" s="17" t="s">
        <v>48</v>
      </c>
      <c r="C7" s="17" t="s">
        <v>293</v>
      </c>
      <c r="D7" s="17" t="s">
        <v>294</v>
      </c>
      <c r="E7" s="17" t="s">
        <v>295</v>
      </c>
    </row>
    <row r="8" customFormat="false" ht="23.85" hidden="false" customHeight="false" outlineLevel="0" collapsed="false">
      <c r="A8" s="18" t="n">
        <v>4</v>
      </c>
      <c r="B8" s="19" t="s">
        <v>50</v>
      </c>
      <c r="C8" s="19" t="s">
        <v>296</v>
      </c>
      <c r="D8" s="19" t="s">
        <v>97</v>
      </c>
      <c r="E8" s="19" t="s">
        <v>297</v>
      </c>
    </row>
    <row r="9" customFormat="false" ht="15" hidden="false" customHeight="false" outlineLevel="0" collapsed="false">
      <c r="A9" s="16" t="n">
        <v>5</v>
      </c>
      <c r="B9" s="17" t="s">
        <v>52</v>
      </c>
      <c r="C9" s="17" t="s">
        <v>298</v>
      </c>
      <c r="D9" s="17" t="s">
        <v>299</v>
      </c>
      <c r="E9" s="17" t="s">
        <v>149</v>
      </c>
    </row>
    <row r="10" customFormat="false" ht="15" hidden="false" customHeight="false" outlineLevel="0" collapsed="false">
      <c r="A10" s="18" t="n">
        <v>6</v>
      </c>
      <c r="B10" s="19" t="s">
        <v>53</v>
      </c>
      <c r="C10" s="19" t="s">
        <v>300</v>
      </c>
      <c r="D10" s="19" t="s">
        <v>301</v>
      </c>
      <c r="E10" s="19"/>
    </row>
    <row r="11" customFormat="false" ht="23.85" hidden="false" customHeight="false" outlineLevel="0" collapsed="false">
      <c r="A11" s="16" t="n">
        <v>7</v>
      </c>
      <c r="B11" s="17" t="s">
        <v>54</v>
      </c>
      <c r="C11" s="17" t="s">
        <v>302</v>
      </c>
      <c r="D11" s="17" t="s">
        <v>97</v>
      </c>
      <c r="E11" s="17"/>
    </row>
    <row r="12" customFormat="false" ht="35.05" hidden="false" customHeight="false" outlineLevel="0" collapsed="false">
      <c r="A12" s="18" t="s">
        <v>303</v>
      </c>
      <c r="B12" s="19" t="s">
        <v>56</v>
      </c>
      <c r="C12" s="19" t="s">
        <v>304</v>
      </c>
      <c r="D12" s="19" t="s">
        <v>97</v>
      </c>
      <c r="E12" s="19"/>
    </row>
    <row r="13" customFormat="false" ht="23.85" hidden="false" customHeight="false" outlineLevel="0" collapsed="false">
      <c r="A13" s="16"/>
      <c r="B13" s="17" t="s">
        <v>305</v>
      </c>
      <c r="C13" s="17" t="s">
        <v>306</v>
      </c>
      <c r="D13" s="17"/>
      <c r="E1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4" customFormat="false" ht="15" hidden="false" customHeight="false" outlineLevel="0" collapsed="false">
      <c r="A4" s="11" t="s">
        <v>309</v>
      </c>
      <c r="B4" s="11" t="s">
        <v>310</v>
      </c>
      <c r="C4" s="11" t="s">
        <v>311</v>
      </c>
      <c r="D4" s="11" t="s">
        <v>91</v>
      </c>
    </row>
    <row r="5" customFormat="false" ht="15" hidden="false" customHeight="false" outlineLevel="0" collapsed="false">
      <c r="A5" s="16" t="s">
        <v>312</v>
      </c>
      <c r="B5" s="17" t="s">
        <v>313</v>
      </c>
      <c r="C5" s="17" t="s">
        <v>314</v>
      </c>
      <c r="D5" s="17"/>
    </row>
    <row r="6" customFormat="false" ht="15" hidden="false" customHeight="false" outlineLevel="0" collapsed="false">
      <c r="A6" s="18" t="s">
        <v>315</v>
      </c>
      <c r="B6" s="19" t="s">
        <v>313</v>
      </c>
      <c r="C6" s="19" t="s">
        <v>316</v>
      </c>
      <c r="D6" s="19" t="s">
        <v>317</v>
      </c>
    </row>
    <row r="7" customFormat="false" ht="15" hidden="false" customHeight="false" outlineLevel="0" collapsed="false">
      <c r="A7" s="16" t="s">
        <v>318</v>
      </c>
      <c r="B7" s="17" t="s">
        <v>319</v>
      </c>
      <c r="C7" s="17" t="s">
        <v>320</v>
      </c>
      <c r="D7" s="17" t="s">
        <v>321</v>
      </c>
    </row>
    <row r="8" customFormat="false" ht="15" hidden="false" customHeight="false" outlineLevel="0" collapsed="false">
      <c r="A8" s="18" t="s">
        <v>74</v>
      </c>
      <c r="B8" s="19" t="s">
        <v>319</v>
      </c>
      <c r="C8" s="19" t="s">
        <v>314</v>
      </c>
      <c r="D8" s="19" t="s">
        <v>322</v>
      </c>
    </row>
    <row r="9" customFormat="false" ht="15" hidden="false" customHeight="false" outlineLevel="0" collapsed="false">
      <c r="A9" s="16" t="s">
        <v>323</v>
      </c>
      <c r="B9" s="17" t="s">
        <v>319</v>
      </c>
      <c r="C9" s="17" t="s">
        <v>320</v>
      </c>
      <c r="D9" s="17" t="s">
        <v>324</v>
      </c>
    </row>
    <row r="10" customFormat="false" ht="15" hidden="false" customHeight="false" outlineLevel="0" collapsed="false">
      <c r="A10" s="18" t="s">
        <v>76</v>
      </c>
      <c r="B10" s="19" t="s">
        <v>319</v>
      </c>
      <c r="C10" s="19" t="s">
        <v>325</v>
      </c>
      <c r="D10" s="19" t="s">
        <v>326</v>
      </c>
    </row>
    <row r="11" customFormat="false" ht="15" hidden="false" customHeight="false" outlineLevel="0" collapsed="false">
      <c r="A11" s="16" t="s">
        <v>327</v>
      </c>
      <c r="B11" s="17" t="s">
        <v>328</v>
      </c>
      <c r="C11" s="17" t="s">
        <v>320</v>
      </c>
      <c r="D11" s="17" t="s">
        <v>329</v>
      </c>
    </row>
    <row r="12" customFormat="false" ht="15" hidden="false" customHeight="false" outlineLevel="0" collapsed="false">
      <c r="A12" s="18" t="s">
        <v>78</v>
      </c>
      <c r="B12" s="19" t="s">
        <v>328</v>
      </c>
      <c r="C12" s="19" t="s">
        <v>320</v>
      </c>
      <c r="D12" s="19" t="s">
        <v>330</v>
      </c>
    </row>
    <row r="13" customFormat="false" ht="15" hidden="false" customHeight="false" outlineLevel="0" collapsed="false">
      <c r="A13" s="16" t="s">
        <v>331</v>
      </c>
      <c r="B13" s="17" t="s">
        <v>328</v>
      </c>
      <c r="C13" s="17" t="s">
        <v>320</v>
      </c>
      <c r="D13" s="17" t="s">
        <v>332</v>
      </c>
    </row>
    <row r="14" customFormat="false" ht="15" hidden="false" customHeight="false" outlineLevel="0" collapsed="false">
      <c r="A14" s="18" t="s">
        <v>333</v>
      </c>
      <c r="B14" s="19" t="s">
        <v>328</v>
      </c>
      <c r="C14" s="19" t="s">
        <v>334</v>
      </c>
      <c r="D14" s="19" t="s">
        <v>335</v>
      </c>
    </row>
    <row r="15" customFormat="false" ht="15" hidden="false" customHeight="false" outlineLevel="0" collapsed="false">
      <c r="A15" s="16" t="s">
        <v>81</v>
      </c>
      <c r="B15" s="17" t="s">
        <v>328</v>
      </c>
      <c r="C15" s="17" t="s">
        <v>336</v>
      </c>
      <c r="D15" s="17" t="s">
        <v>337</v>
      </c>
    </row>
    <row r="16" customFormat="false" ht="15" hidden="false" customHeight="false" outlineLevel="0" collapsed="false">
      <c r="A16" s="18" t="s">
        <v>82</v>
      </c>
      <c r="B16" s="19" t="s">
        <v>338</v>
      </c>
      <c r="C16" s="19" t="s">
        <v>334</v>
      </c>
      <c r="D16" s="19" t="s">
        <v>339</v>
      </c>
    </row>
    <row r="17" customFormat="false" ht="15" hidden="false" customHeight="false" outlineLevel="0" collapsed="false">
      <c r="A17" s="16" t="s">
        <v>83</v>
      </c>
      <c r="B17" s="17" t="s">
        <v>340</v>
      </c>
      <c r="C17" s="17" t="s">
        <v>334</v>
      </c>
      <c r="D17" s="17" t="s">
        <v>341</v>
      </c>
    </row>
    <row r="18" customFormat="false" ht="15" hidden="false" customHeight="false" outlineLevel="0" collapsed="false">
      <c r="A18" s="18" t="s">
        <v>342</v>
      </c>
      <c r="B18" s="19" t="s">
        <v>340</v>
      </c>
      <c r="C18" s="19" t="s">
        <v>343</v>
      </c>
      <c r="D18" s="19" t="s">
        <v>344</v>
      </c>
    </row>
    <row r="19" customFormat="false" ht="15" hidden="false" customHeight="false" outlineLevel="0" collapsed="false">
      <c r="A19" s="16" t="s">
        <v>86</v>
      </c>
      <c r="B19" s="17" t="s">
        <v>340</v>
      </c>
      <c r="C19" s="17" t="s">
        <v>325</v>
      </c>
      <c r="D19" s="17" t="s">
        <v>345</v>
      </c>
    </row>
    <row r="20" customFormat="false" ht="15" hidden="false" customHeight="false" outlineLevel="0" collapsed="false">
      <c r="A20" s="18" t="s">
        <v>87</v>
      </c>
      <c r="B20" s="19" t="s">
        <v>346</v>
      </c>
      <c r="C20" s="19" t="s">
        <v>325</v>
      </c>
      <c r="D20" s="19" t="s">
        <v>347</v>
      </c>
    </row>
    <row r="21" customFormat="false" ht="15" hidden="false" customHeight="false" outlineLevel="0" collapsed="false">
      <c r="A21" s="16" t="s">
        <v>88</v>
      </c>
      <c r="B21" s="17" t="s">
        <v>346</v>
      </c>
      <c r="C21" s="17" t="s">
        <v>325</v>
      </c>
      <c r="D21" s="17" t="s">
        <v>348</v>
      </c>
    </row>
    <row r="22" customFormat="false" ht="23.85" hidden="false" customHeight="false" outlineLevel="0" collapsed="false">
      <c r="A22" s="18" t="s">
        <v>89</v>
      </c>
      <c r="B22" s="19" t="s">
        <v>349</v>
      </c>
      <c r="C22" s="19" t="s">
        <v>314</v>
      </c>
      <c r="D22" s="19" t="s">
        <v>350</v>
      </c>
    </row>
    <row r="23" customFormat="false" ht="15" hidden="false" customHeight="false" outlineLevel="0" collapsed="false">
      <c r="A23" s="16" t="s">
        <v>351</v>
      </c>
      <c r="B23" s="17" t="s">
        <v>352</v>
      </c>
      <c r="C23" s="17" t="s">
        <v>320</v>
      </c>
      <c r="D23" s="17" t="s">
        <v>353</v>
      </c>
    </row>
    <row r="24" customFormat="false" ht="15" hidden="false" customHeight="false" outlineLevel="0" collapsed="false">
      <c r="A24" s="18" t="s">
        <v>91</v>
      </c>
      <c r="B24" s="19" t="s">
        <v>354</v>
      </c>
      <c r="C24" s="19" t="s">
        <v>314</v>
      </c>
      <c r="D24" s="19" t="s">
        <v>355</v>
      </c>
    </row>
    <row r="25" customFormat="false" ht="15" hidden="false" customHeight="false" outlineLevel="0" collapsed="false">
      <c r="A25" s="16" t="s">
        <v>92</v>
      </c>
      <c r="B25" s="17" t="s">
        <v>354</v>
      </c>
      <c r="C25" s="17" t="s">
        <v>356</v>
      </c>
      <c r="D25" s="17" t="s">
        <v>357</v>
      </c>
    </row>
    <row r="26" customFormat="false" ht="35.05" hidden="false" customHeight="false" outlineLevel="0" collapsed="false">
      <c r="A26" s="18" t="s">
        <v>358</v>
      </c>
      <c r="B26" s="19" t="s">
        <v>359</v>
      </c>
      <c r="C26" s="19" t="s">
        <v>303</v>
      </c>
      <c r="D26" s="19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361</v>
      </c>
    </row>
    <row r="4" customFormat="false" ht="23.85" hidden="false" customHeight="false" outlineLevel="0" collapsed="false">
      <c r="A4" s="11" t="s">
        <v>362</v>
      </c>
      <c r="B4" s="11" t="s">
        <v>363</v>
      </c>
      <c r="C4" s="11" t="s">
        <v>364</v>
      </c>
      <c r="D4" s="11" t="s">
        <v>365</v>
      </c>
    </row>
    <row r="5" customFormat="false" ht="15" hidden="false" customHeight="false" outlineLevel="0" collapsed="false">
      <c r="A5" s="16" t="s">
        <v>366</v>
      </c>
      <c r="B5" s="17" t="s">
        <v>367</v>
      </c>
      <c r="C5" s="17" t="s">
        <v>368</v>
      </c>
      <c r="D5" s="17" t="s">
        <v>369</v>
      </c>
    </row>
    <row r="6" customFormat="false" ht="15" hidden="false" customHeight="false" outlineLevel="0" collapsed="false">
      <c r="A6" s="18" t="s">
        <v>370</v>
      </c>
      <c r="B6" s="19" t="s">
        <v>371</v>
      </c>
      <c r="C6" s="19" t="s">
        <v>368</v>
      </c>
      <c r="D6" s="19" t="s">
        <v>369</v>
      </c>
    </row>
    <row r="7" customFormat="false" ht="15" hidden="false" customHeight="false" outlineLevel="0" collapsed="false">
      <c r="A7" s="16" t="s">
        <v>372</v>
      </c>
      <c r="B7" s="17" t="s">
        <v>373</v>
      </c>
      <c r="C7" s="17" t="s">
        <v>368</v>
      </c>
      <c r="D7" s="17" t="s">
        <v>369</v>
      </c>
    </row>
    <row r="8" customFormat="false" ht="15" hidden="false" customHeight="false" outlineLevel="0" collapsed="false">
      <c r="A8" s="18" t="s">
        <v>374</v>
      </c>
      <c r="B8" s="19" t="s">
        <v>375</v>
      </c>
      <c r="C8" s="19" t="s">
        <v>368</v>
      </c>
      <c r="D8" s="19" t="s">
        <v>369</v>
      </c>
    </row>
    <row r="9" customFormat="false" ht="15" hidden="false" customHeight="false" outlineLevel="0" collapsed="false">
      <c r="A9" s="16" t="s">
        <v>376</v>
      </c>
      <c r="B9" s="17" t="s">
        <v>377</v>
      </c>
      <c r="C9" s="17" t="s">
        <v>378</v>
      </c>
      <c r="D9" s="17" t="s">
        <v>369</v>
      </c>
    </row>
    <row r="10" customFormat="false" ht="23.85" hidden="false" customHeight="false" outlineLevel="0" collapsed="false">
      <c r="A10" s="18" t="s">
        <v>379</v>
      </c>
      <c r="B10" s="19" t="s">
        <v>380</v>
      </c>
      <c r="C10" s="19" t="s">
        <v>381</v>
      </c>
      <c r="D10" s="19" t="s">
        <v>382</v>
      </c>
    </row>
    <row r="11" customFormat="false" ht="15" hidden="false" customHeight="false" outlineLevel="0" collapsed="false">
      <c r="A11" s="16" t="s">
        <v>383</v>
      </c>
      <c r="B11" s="17" t="s">
        <v>384</v>
      </c>
      <c r="C11" s="17" t="s">
        <v>385</v>
      </c>
      <c r="D11" s="17" t="s">
        <v>386</v>
      </c>
    </row>
    <row r="12" customFormat="false" ht="15" hidden="false" customHeight="false" outlineLevel="0" collapsed="false">
      <c r="A12" s="18" t="s">
        <v>387</v>
      </c>
      <c r="B12" s="19" t="s">
        <v>388</v>
      </c>
      <c r="C12" s="19" t="s">
        <v>389</v>
      </c>
      <c r="D12" s="19" t="s">
        <v>369</v>
      </c>
    </row>
    <row r="13" customFormat="false" ht="15" hidden="false" customHeight="false" outlineLevel="0" collapsed="false">
      <c r="A13" s="16" t="s">
        <v>48</v>
      </c>
      <c r="B13" s="17" t="s">
        <v>390</v>
      </c>
      <c r="C13" s="17" t="s">
        <v>389</v>
      </c>
      <c r="D13" s="17" t="s">
        <v>369</v>
      </c>
    </row>
    <row r="14" customFormat="false" ht="23.85" hidden="false" customHeight="false" outlineLevel="0" collapsed="false">
      <c r="A14" s="18" t="s">
        <v>391</v>
      </c>
      <c r="B14" s="19" t="s">
        <v>375</v>
      </c>
      <c r="C14" s="19" t="s">
        <v>389</v>
      </c>
      <c r="D14" s="19" t="s">
        <v>392</v>
      </c>
    </row>
    <row r="15" customFormat="false" ht="15" hidden="false" customHeight="false" outlineLevel="0" collapsed="false">
      <c r="A15" s="16" t="s">
        <v>393</v>
      </c>
      <c r="B15" s="17" t="s">
        <v>394</v>
      </c>
      <c r="C15" s="17" t="s">
        <v>381</v>
      </c>
      <c r="D15" s="17" t="s">
        <v>369</v>
      </c>
    </row>
    <row r="16" customFormat="false" ht="23.85" hidden="false" customHeight="false" outlineLevel="0" collapsed="false">
      <c r="A16" s="18" t="s">
        <v>152</v>
      </c>
      <c r="B16" s="19" t="s">
        <v>395</v>
      </c>
      <c r="C16" s="19" t="s">
        <v>396</v>
      </c>
      <c r="D16" s="19" t="s">
        <v>382</v>
      </c>
    </row>
    <row r="17" customFormat="false" ht="15" hidden="false" customHeight="false" outlineLevel="0" collapsed="false">
      <c r="A17" s="16" t="s">
        <v>397</v>
      </c>
      <c r="B17" s="17" t="s">
        <v>398</v>
      </c>
      <c r="C17" s="17" t="s">
        <v>389</v>
      </c>
      <c r="D17" s="17" t="s">
        <v>369</v>
      </c>
    </row>
    <row r="18" customFormat="false" ht="23.85" hidden="false" customHeight="false" outlineLevel="0" collapsed="false">
      <c r="A18" s="18" t="s">
        <v>399</v>
      </c>
      <c r="B18" s="19" t="s">
        <v>400</v>
      </c>
      <c r="C18" s="19" t="s">
        <v>389</v>
      </c>
      <c r="D18" s="19" t="s">
        <v>401</v>
      </c>
    </row>
    <row r="19" customFormat="false" ht="23.85" hidden="false" customHeight="false" outlineLevel="0" collapsed="false">
      <c r="A19" s="16" t="s">
        <v>402</v>
      </c>
      <c r="B19" s="17" t="s">
        <v>403</v>
      </c>
      <c r="C19" s="17" t="s">
        <v>381</v>
      </c>
      <c r="D19" s="17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405</v>
      </c>
    </row>
    <row r="2" customFormat="false" ht="15" hidden="false" customHeight="false" outlineLevel="0" collapsed="false">
      <c r="A2" s="2" t="s">
        <v>406</v>
      </c>
    </row>
    <row r="4" customFormat="false" ht="15" hidden="false" customHeight="false" outlineLevel="0" collapsed="false">
      <c r="A4" s="11" t="s">
        <v>407</v>
      </c>
      <c r="B4" s="11" t="s">
        <v>408</v>
      </c>
    </row>
    <row r="5" customFormat="false" ht="15" hidden="false" customHeight="false" outlineLevel="0" collapsed="false">
      <c r="A5" s="16" t="s">
        <v>409</v>
      </c>
      <c r="B5" s="17" t="s">
        <v>410</v>
      </c>
    </row>
    <row r="6" customFormat="false" ht="15" hidden="false" customHeight="false" outlineLevel="0" collapsed="false">
      <c r="A6" s="18" t="s">
        <v>411</v>
      </c>
      <c r="B6" s="19" t="s">
        <v>412</v>
      </c>
    </row>
    <row r="7" customFormat="false" ht="15" hidden="false" customHeight="false" outlineLevel="0" collapsed="false">
      <c r="A7" s="16" t="s">
        <v>413</v>
      </c>
      <c r="B7" s="17" t="s">
        <v>414</v>
      </c>
    </row>
    <row r="8" customFormat="false" ht="15" hidden="false" customHeight="false" outlineLevel="0" collapsed="false">
      <c r="A8" s="18" t="s">
        <v>415</v>
      </c>
      <c r="B8" s="19" t="s">
        <v>416</v>
      </c>
    </row>
    <row r="9" customFormat="false" ht="15" hidden="false" customHeight="false" outlineLevel="0" collapsed="false">
      <c r="A9" s="16" t="s">
        <v>417</v>
      </c>
      <c r="B9" s="17" t="s">
        <v>418</v>
      </c>
    </row>
    <row r="10" customFormat="false" ht="15" hidden="false" customHeight="false" outlineLevel="0" collapsed="false">
      <c r="A10" s="18" t="s">
        <v>419</v>
      </c>
      <c r="B10" s="19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421</v>
      </c>
    </row>
    <row r="4" customFormat="false" ht="15" hidden="false" customHeight="false" outlineLevel="0" collapsed="false">
      <c r="A4" s="11" t="s">
        <v>422</v>
      </c>
      <c r="B4" s="11" t="s">
        <v>423</v>
      </c>
      <c r="C4" s="11" t="s">
        <v>424</v>
      </c>
    </row>
    <row r="5" customFormat="false" ht="23.85" hidden="false" customHeight="false" outlineLevel="0" collapsed="false">
      <c r="A5" s="16" t="s">
        <v>97</v>
      </c>
      <c r="B5" s="17" t="s">
        <v>425</v>
      </c>
      <c r="C5" s="17" t="s">
        <v>426</v>
      </c>
    </row>
    <row r="6" customFormat="false" ht="23.85" hidden="false" customHeight="false" outlineLevel="0" collapsed="false">
      <c r="A6" s="18" t="s">
        <v>427</v>
      </c>
      <c r="B6" s="19" t="s">
        <v>428</v>
      </c>
      <c r="C6" s="19" t="s">
        <v>429</v>
      </c>
    </row>
    <row r="7" customFormat="false" ht="23.85" hidden="false" customHeight="false" outlineLevel="0" collapsed="false">
      <c r="A7" s="16" t="s">
        <v>430</v>
      </c>
      <c r="B7" s="17" t="s">
        <v>431</v>
      </c>
      <c r="C7" s="17" t="s">
        <v>432</v>
      </c>
    </row>
    <row r="8" customFormat="false" ht="15" hidden="false" customHeight="false" outlineLevel="0" collapsed="false">
      <c r="A8" s="18" t="s">
        <v>433</v>
      </c>
      <c r="B8" s="19" t="s">
        <v>434</v>
      </c>
      <c r="C8" s="19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40"/>
  </cols>
  <sheetData>
    <row r="1" customFormat="false" ht="19.7" hidden="false" customHeight="false" outlineLevel="0" collapsed="false">
      <c r="A1" s="1" t="s">
        <v>436</v>
      </c>
    </row>
    <row r="2" customFormat="false" ht="15" hidden="false" customHeight="false" outlineLevel="0" collapsed="false">
      <c r="A2" s="2" t="s">
        <v>437</v>
      </c>
    </row>
    <row r="4" customFormat="false" ht="15" hidden="false" customHeight="false" outlineLevel="0" collapsed="false">
      <c r="A4" s="11" t="s">
        <v>438</v>
      </c>
      <c r="B4" s="11" t="s">
        <v>439</v>
      </c>
      <c r="C4" s="11" t="s">
        <v>440</v>
      </c>
    </row>
    <row r="5" customFormat="false" ht="15" hidden="false" customHeight="false" outlineLevel="0" collapsed="false">
      <c r="A5" s="16" t="s">
        <v>441</v>
      </c>
      <c r="B5" s="17" t="s">
        <v>442</v>
      </c>
      <c r="C5" s="20"/>
    </row>
    <row r="6" customFormat="false" ht="15" hidden="false" customHeight="false" outlineLevel="0" collapsed="false">
      <c r="A6" s="18" t="s">
        <v>443</v>
      </c>
      <c r="B6" s="19" t="s">
        <v>369</v>
      </c>
      <c r="C6" s="20"/>
    </row>
    <row r="7" customFormat="false" ht="15" hidden="false" customHeight="false" outlineLevel="0" collapsed="false">
      <c r="A7" s="16" t="s">
        <v>444</v>
      </c>
      <c r="B7" s="17" t="s">
        <v>445</v>
      </c>
      <c r="C7" s="20"/>
    </row>
    <row r="8" customFormat="false" ht="15" hidden="false" customHeight="false" outlineLevel="0" collapsed="false">
      <c r="A8" s="18" t="s">
        <v>446</v>
      </c>
      <c r="B8" s="19" t="s">
        <v>447</v>
      </c>
      <c r="C8" s="20"/>
    </row>
    <row r="9" customFormat="false" ht="15" hidden="false" customHeight="false" outlineLevel="0" collapsed="false">
      <c r="A9" s="16" t="s">
        <v>448</v>
      </c>
      <c r="B9" s="17" t="s">
        <v>449</v>
      </c>
      <c r="C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8"/>
  </cols>
  <sheetData>
    <row r="1" customFormat="false" ht="19.7" hidden="false" customHeight="false" outlineLevel="0" collapsed="false">
      <c r="A1" s="1" t="s">
        <v>450</v>
      </c>
    </row>
    <row r="2" customFormat="false" ht="15" hidden="false" customHeight="false" outlineLevel="0" collapsed="false">
      <c r="A2" s="2" t="s">
        <v>451</v>
      </c>
    </row>
    <row r="4" customFormat="false" ht="15" hidden="false" customHeight="false" outlineLevel="0" collapsed="false">
      <c r="A4" s="8" t="s">
        <v>77</v>
      </c>
      <c r="B4" s="8" t="s">
        <v>73</v>
      </c>
      <c r="C4" s="8" t="s">
        <v>75</v>
      </c>
      <c r="D4" s="8" t="s">
        <v>78</v>
      </c>
      <c r="E4" s="8" t="s">
        <v>79</v>
      </c>
      <c r="F4" s="8" t="s">
        <v>90</v>
      </c>
      <c r="G4" s="8" t="s">
        <v>452</v>
      </c>
    </row>
    <row r="5" customFormat="false" ht="15" hidden="false" customHeight="false" outlineLevel="0" collapsed="false">
      <c r="A5" s="7" t="s">
        <v>44</v>
      </c>
      <c r="B5" s="7" t="s">
        <v>57</v>
      </c>
      <c r="C5" s="7" t="s">
        <v>105</v>
      </c>
      <c r="D5" s="7" t="s">
        <v>116</v>
      </c>
      <c r="E5" s="7" t="s">
        <v>97</v>
      </c>
      <c r="F5" s="7" t="s">
        <v>453</v>
      </c>
      <c r="G5" s="7" t="s">
        <v>454</v>
      </c>
    </row>
    <row r="6" customFormat="false" ht="15" hidden="false" customHeight="false" outlineLevel="0" collapsed="false">
      <c r="A6" s="7" t="s">
        <v>46</v>
      </c>
      <c r="B6" s="7" t="s">
        <v>59</v>
      </c>
      <c r="C6" s="7" t="s">
        <v>115</v>
      </c>
      <c r="D6" s="7" t="s">
        <v>190</v>
      </c>
      <c r="E6" s="7" t="s">
        <v>427</v>
      </c>
      <c r="F6" s="7" t="s">
        <v>455</v>
      </c>
      <c r="G6" s="7" t="s">
        <v>456</v>
      </c>
    </row>
    <row r="7" customFormat="false" ht="15" hidden="false" customHeight="false" outlineLevel="0" collapsed="false">
      <c r="A7" s="7" t="s">
        <v>48</v>
      </c>
      <c r="B7" s="7" t="s">
        <v>60</v>
      </c>
      <c r="C7" s="7" t="s">
        <v>152</v>
      </c>
      <c r="D7" s="7" t="s">
        <v>153</v>
      </c>
      <c r="E7" s="7" t="s">
        <v>430</v>
      </c>
      <c r="F7" s="7" t="s">
        <v>457</v>
      </c>
      <c r="G7" s="7" t="s">
        <v>458</v>
      </c>
    </row>
    <row r="8" customFormat="false" ht="15" hidden="false" customHeight="false" outlineLevel="0" collapsed="false">
      <c r="A8" s="7" t="s">
        <v>50</v>
      </c>
      <c r="B8" s="7" t="s">
        <v>62</v>
      </c>
      <c r="C8" s="7" t="s">
        <v>101</v>
      </c>
      <c r="E8" s="7" t="s">
        <v>433</v>
      </c>
      <c r="F8" s="7" t="s">
        <v>459</v>
      </c>
    </row>
    <row r="9" customFormat="false" ht="15" hidden="false" customHeight="false" outlineLevel="0" collapsed="false">
      <c r="A9" s="7" t="s">
        <v>52</v>
      </c>
      <c r="B9" s="7" t="s">
        <v>64</v>
      </c>
      <c r="C9" s="7" t="s">
        <v>134</v>
      </c>
      <c r="F9" s="7" t="s">
        <v>460</v>
      </c>
    </row>
    <row r="10" customFormat="false" ht="15" hidden="false" customHeight="false" outlineLevel="0" collapsed="false">
      <c r="A10" s="7" t="s">
        <v>53</v>
      </c>
      <c r="B10" s="7" t="s">
        <v>66</v>
      </c>
      <c r="C10" s="7" t="s">
        <v>96</v>
      </c>
      <c r="F10" s="7" t="s">
        <v>66</v>
      </c>
    </row>
    <row r="11" customFormat="false" ht="15" hidden="false" customHeight="false" outlineLevel="0" collapsed="false">
      <c r="A11" s="7" t="s">
        <v>54</v>
      </c>
      <c r="B11" s="7" t="s">
        <v>68</v>
      </c>
      <c r="C11" s="7" t="s">
        <v>110</v>
      </c>
    </row>
    <row r="12" customFormat="false" ht="15" hidden="false" customHeight="false" outlineLevel="0" collapsed="false">
      <c r="A12" s="7" t="s">
        <v>56</v>
      </c>
      <c r="C12" s="7" t="s">
        <v>461</v>
      </c>
    </row>
    <row r="13" customFormat="false" ht="15" hidden="false" customHeight="false" outlineLevel="0" collapsed="false">
      <c r="C13" s="7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2026-10-14T13:05:24Z</dcterms:created>
  <dc:creator>openpyxl</dc:creator>
  <dc:description/>
  <dc:language>en-US</dc:language>
  <cp:lastModifiedBy/>
  <dcterms:modified xsi:type="dcterms:W3CDTF">2026-10-14T13:05:25Z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